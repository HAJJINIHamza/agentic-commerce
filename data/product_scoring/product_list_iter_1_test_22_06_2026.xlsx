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<sst xmlns="http://schemas.openxmlformats.org/spreadsheetml/2006/main" count="148" uniqueCount="111">
  <si>
    <t xml:space="preserve">id</t>
  </si>
  <si>
    <t xml:space="preserve">product_name</t>
  </si>
  <si>
    <t xml:space="preserve">product_category</t>
  </si>
  <si>
    <t xml:space="preserve">selling_price_1</t>
  </si>
  <si>
    <t xml:space="preserve">selling_price_2</t>
  </si>
  <si>
    <t xml:space="preserve">selling_price_3</t>
  </si>
  <si>
    <t xml:space="preserve">selling_price_4</t>
  </si>
  <si>
    <t xml:space="preserve">selling_price_5</t>
  </si>
  <si>
    <t xml:space="preserve">selling_price</t>
  </si>
  <si>
    <t xml:space="preserve">product_cost_1</t>
  </si>
  <si>
    <t xml:space="preserve">product_cost_2</t>
  </si>
  <si>
    <t xml:space="preserve">product_cost_3</t>
  </si>
  <si>
    <t xml:space="preserve">product_cost_4</t>
  </si>
  <si>
    <t xml:space="preserve">product_cost_5</t>
  </si>
  <si>
    <t xml:space="preserve">product_cost</t>
  </si>
  <si>
    <t xml:space="preserve">shipping_cost</t>
  </si>
  <si>
    <t xml:space="preserve">platform_fees</t>
  </si>
  <si>
    <t xml:space="preserve">advertising_costs</t>
  </si>
  <si>
    <t xml:space="preserve">packaging_cost</t>
  </si>
  <si>
    <t xml:space="preserve">number_of_orders</t>
  </si>
  <si>
    <t xml:space="preserve">search_this_month</t>
  </si>
  <si>
    <t xml:space="preserve">search_last_month</t>
  </si>
  <si>
    <t xml:space="preserve">search_three_month_growth</t>
  </si>
  <si>
    <t xml:space="preserve">product_rating</t>
  </si>
  <si>
    <t xml:space="preserve">number_of_five_stars_reviews</t>
  </si>
  <si>
    <t xml:space="preserve">number_of_competitors</t>
  </si>
  <si>
    <t xml:space="preserve">competitor_review_1</t>
  </si>
  <si>
    <t xml:space="preserve">competitor_review_2</t>
  </si>
  <si>
    <t xml:space="preserve">competitor_review_3</t>
  </si>
  <si>
    <t xml:space="preserve">competitor_review_4</t>
  </si>
  <si>
    <t xml:space="preserve">competitor_review_5</t>
  </si>
  <si>
    <t xml:space="preserve">avg_top_five_competitor_reviews</t>
  </si>
  <si>
    <t xml:space="preserve">competitor_ratings_1</t>
  </si>
  <si>
    <t xml:space="preserve">competitor_ratings_2</t>
  </si>
  <si>
    <t xml:space="preserve">competitor_ratings_3</t>
  </si>
  <si>
    <t xml:space="preserve">competitor_ratings_4</t>
  </si>
  <si>
    <t xml:space="preserve">competitor_ratings_5</t>
  </si>
  <si>
    <t xml:space="preserve">avg_competitor_ratings</t>
  </si>
  <si>
    <t xml:space="preserve">margin_1</t>
  </si>
  <si>
    <t xml:space="preserve">Margin_2</t>
  </si>
  <si>
    <t xml:space="preserve">margin_3</t>
  </si>
  <si>
    <t xml:space="preserve">Margin_4</t>
  </si>
  <si>
    <t xml:space="preserve">Margin_5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</si>
  <si>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</si>
  <si>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</si>
  <si>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</si>
  <si>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</si>
  <si>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</si>
  <si>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number_of_available_suppliers</t>
  </si>
  <si>
    <t xml:space="preserve">fragility</t>
  </si>
  <si>
    <t xml:space="preserve">supplier_rating</t>
  </si>
  <si>
    <t xml:space="preserve">moq</t>
  </si>
  <si>
    <t xml:space="preserve">supplier_response_rate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</si>
  <si>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</si>
  <si>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</si>
  <si>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</si>
  <si>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</si>
  <si>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</si>
  <si>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</si>
  <si>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</si>
  <si>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</si>
  <si>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</si>
  <si>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Scalp massage brush</t>
  </si>
  <si>
    <t xml:space="preserve">K-beauty accessories</t>
  </si>
  <si>
    <t xml:space="preserve">Silicone facial cleansing pad</t>
  </si>
  <si>
    <t xml:space="preserve">Makeup puff</t>
  </si>
  <si>
    <t xml:space="preserve">Cosmetic spatula</t>
  </si>
  <si>
    <t xml:space="preserve">Cosmetic organizer</t>
  </si>
  <si>
    <t xml:space="preserve">Travel cosmetic bottle</t>
  </si>
  <si>
    <t xml:space="preserve">Reusable silicone mask cover</t>
  </si>
  <si>
    <t xml:space="preserve">Ice face roller</t>
  </si>
  <si>
    <t xml:space="preserve">Blackhead remover tool kit</t>
  </si>
  <si>
    <t xml:space="preserve">Mini skincare fridge organizer</t>
  </si>
  <si>
    <t xml:space="preserve">Shower scalp brush</t>
  </si>
  <si>
    <t xml:space="preserve">Hair &amp; scalp care tools</t>
  </si>
  <si>
    <t xml:space="preserve">Hair towel</t>
  </si>
  <si>
    <t xml:space="preserve">Compact comb</t>
  </si>
  <si>
    <t xml:space="preserve">Makeup Brush holder</t>
  </si>
  <si>
    <t xml:space="preserve">Heatless hair curler</t>
  </si>
  <si>
    <t xml:space="preserve">Hair section clips</t>
  </si>
  <si>
    <t xml:space="preserve">Portable detangling brush</t>
  </si>
  <si>
    <t xml:space="preserve">Scalp oil applicator bottle</t>
  </si>
  <si>
    <t xml:space="preserve">Desk organizer</t>
  </si>
  <si>
    <t xml:space="preserve">Korean lifestyle small goods</t>
  </si>
  <si>
    <t xml:space="preserve">Cute stationery</t>
  </si>
  <si>
    <t xml:space="preserve">Travel pouch</t>
  </si>
  <si>
    <t xml:space="preserve">Kitchen small tool</t>
  </si>
  <si>
    <t xml:space="preserve">Storage case</t>
  </si>
  <si>
    <t xml:space="preserve">Cable organizer</t>
  </si>
  <si>
    <t xml:space="preserve">Mini trash bin for desk</t>
  </si>
  <si>
    <t xml:space="preserve">Reusable shopping bag</t>
  </si>
  <si>
    <t xml:space="preserve">Foldable laundry basket</t>
  </si>
  <si>
    <t xml:space="preserve">Refrigerator storage box</t>
  </si>
  <si>
    <t xml:space="preserve">Laptop stand</t>
  </si>
  <si>
    <t xml:space="preserve">Korean desk &amp; study accessories</t>
  </si>
  <si>
    <t xml:space="preserve">Keyboard cleaning gel</t>
  </si>
  <si>
    <t xml:space="preserve">Monitor memo board</t>
  </si>
  <si>
    <t xml:space="preserve">Aesthetic mouse pad</t>
  </si>
  <si>
    <t xml:space="preserve">Tablet stand</t>
  </si>
  <si>
    <t xml:space="preserve">Compression packing cubes</t>
  </si>
  <si>
    <t xml:space="preserve">Korean travel accessories</t>
  </si>
  <si>
    <t xml:space="preserve">Passport holder</t>
  </si>
  <si>
    <t xml:space="preserve">Portable jewelry case</t>
  </si>
  <si>
    <t xml:space="preserve">Mini refill perfume bottle</t>
  </si>
  <si>
    <t xml:space="preserve">Luggage shoe bag</t>
  </si>
  <si>
    <t xml:space="preserve">Pet grooming glove</t>
  </si>
  <si>
    <t xml:space="preserve">Korean pet accessories</t>
  </si>
  <si>
    <t xml:space="preserve">Portable pet water bottle</t>
  </si>
  <si>
    <t xml:space="preserve">Pet food storage container</t>
  </si>
  <si>
    <t xml:space="preserve">Silicone pet bath brush</t>
  </si>
  <si>
    <t xml:space="preserve">Pet hair remover roller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</si>
</sst>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#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FF6D6D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W1" activePane="topRight" state="frozen"/>
      <selection pane="topLeft" activeCell="A1" activeCellId="0" sqref="A1"/>
      <selection pane="topRight" activeCell="AB17" activeCellId="0" sqref="AB1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5.77"/>
    <col collapsed="false" customWidth="true" hidden="false" outlineLevel="0" max="3" min="3" style="1" width="28.84"/>
    <col collapsed="false" customWidth="true" hidden="false" outlineLevel="0" max="7" min="4" style="1" width="13.53"/>
    <col collapsed="false" customWidth="true" hidden="false" outlineLevel="0" max="8" min="8" style="1" width="12.56"/>
    <col collapsed="false" customWidth="true" hidden="false" outlineLevel="0" max="14" min="9" style="1" width="13.95"/>
    <col collapsed="false" customWidth="true" hidden="false" outlineLevel="0" max="16" min="15" style="1" width="12.7"/>
    <col collapsed="false" customWidth="true" hidden="false" outlineLevel="0" max="18" min="18" style="1" width="15.76"/>
    <col collapsed="false" customWidth="true" hidden="false" outlineLevel="0" max="20" min="19" style="1" width="15.48"/>
    <col collapsed="false" customWidth="true" hidden="false" outlineLevel="0" max="22" min="21" style="1" width="16.89"/>
    <col collapsed="false" customWidth="true" hidden="false" outlineLevel="0" max="23" min="23" style="1" width="24.25"/>
    <col collapsed="false" customWidth="true" hidden="false" outlineLevel="0" max="24" min="24" style="1" width="16.58"/>
    <col collapsed="false" customWidth="true" hidden="false" outlineLevel="0" max="25" min="25" style="1" width="26.05"/>
    <col collapsed="false" customWidth="true" hidden="false" outlineLevel="0" max="26" min="26" style="1" width="20.49"/>
    <col collapsed="false" customWidth="true" hidden="false" outlineLevel="0" max="27" min="27" style="1" width="18.13"/>
    <col collapsed="false" customWidth="true" hidden="false" outlineLevel="0" max="28" min="28" style="1" width="14.46"/>
    <col collapsed="false" customWidth="true" hidden="false" outlineLevel="0" max="29" min="29" style="1" width="18.08"/>
    <col collapsed="false" customWidth="true" hidden="false" outlineLevel="0" max="31" min="30" style="1" width="18.13"/>
    <col collapsed="false" customWidth="true" hidden="false" outlineLevel="0" max="32" min="32" style="1" width="28.42"/>
    <col collapsed="false" customWidth="true" hidden="false" outlineLevel="0" max="33" min="33" style="1" width="15.58"/>
    <col collapsed="false" customWidth="true" hidden="false" outlineLevel="0" max="38" min="38" style="1" width="20.35"/>
    <col collapsed="false" customWidth="true" hidden="false" outlineLevel="0" max="45" min="45" style="1" width="15.48"/>
    <col collapsed="false" customWidth="true" hidden="false" outlineLevel="0" max="49" min="49" style="1" width="26.33"/>
    <col collapsed="false" customWidth="true" hidden="false" outlineLevel="0" max="51" min="51" style="1" width="13.25"/>
    <col collapsed="false" customWidth="true" hidden="false" outlineLevel="0" max="53" min="53" style="1" width="12.98"/>
    <col collapsed="false" customWidth="true" hidden="false" outlineLevel="0" max="54" min="54" style="1" width="15.34"/>
    <col collapsed="false" customWidth="true" hidden="false" outlineLevel="0" max="55" min="55" style="1" width="25.77"/>
    <col collapsed="false" customWidth="true" hidden="false" outlineLevel="0" max="56" min="56" style="1" width="22.99"/>
    <col collapsed="false" customWidth="true" hidden="false" outlineLevel="0" max="57" min="57" style="1" width="15.34"/>
    <col collapsed="false" customWidth="true" hidden="false" outlineLevel="0" max="58" min="58" style="1" width="17.98"/>
    <col collapsed="false" customWidth="true" hidden="false" outlineLevel="0" max="59" min="59" style="1" width="16.46"/>
    <col collapsed="false" customWidth="true" hidden="false" outlineLevel="0" max="60" min="60" style="1" width="14.93"/>
    <col collapsed="false" customWidth="true" hidden="false" outlineLevel="0" max="62" min="62" style="1" width="16.5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customFormat="false" ht="12.8" hidden="false" customHeight="false" outlineLevel="0" collapsed="false">
      <c r="A2" s="2" t="n">
        <v>1</v>
      </c>
      <c r="B2" s="2" t="s">
        <v>62</v>
      </c>
      <c r="C2" s="2" t="s">
        <v>63</v>
      </c>
      <c r="D2" s="2"/>
      <c r="E2" s="2"/>
      <c r="F2" s="2"/>
      <c r="G2" s="2"/>
      <c r="H2" s="2"/>
      <c r="I2" s="3" t="n">
        <v>8.49</v>
      </c>
      <c r="J2" s="2" t="n">
        <v>2</v>
      </c>
      <c r="K2" s="2" t="n">
        <v>2.36</v>
      </c>
      <c r="L2" s="2" t="n">
        <v>2.5</v>
      </c>
      <c r="M2" s="2"/>
      <c r="N2" s="2"/>
      <c r="O2" s="3" t="n">
        <f aca="false">AVERAGE(J2:N2)</f>
        <v>2.28666666666667</v>
      </c>
      <c r="P2" s="3" t="n">
        <v>0.6</v>
      </c>
      <c r="Q2" s="3" t="n">
        <f aca="false">0.1*I2</f>
        <v>0.849</v>
      </c>
      <c r="R2" s="3" t="n">
        <f aca="false">0.08*I2</f>
        <v>0.6792</v>
      </c>
      <c r="S2" s="3" t="n">
        <v>0.15</v>
      </c>
      <c r="T2" s="4" t="n">
        <f aca="false">100000+300000+5000+10000+70000+1000+1000+3000+1000+4000</f>
        <v>495000</v>
      </c>
      <c r="U2" s="5" t="n">
        <v>50</v>
      </c>
      <c r="V2" s="5" t="n">
        <v>50</v>
      </c>
      <c r="W2" s="3" t="n">
        <v>0.0217</v>
      </c>
      <c r="X2" s="3" t="n">
        <v>5</v>
      </c>
      <c r="Y2" s="3" t="n">
        <f aca="false">23700+42200+1200+4300+8300+37200+11400+2600</f>
        <v>130900</v>
      </c>
      <c r="Z2" s="3" t="n">
        <v>700</v>
      </c>
      <c r="AA2" s="2" t="n">
        <v>4.9</v>
      </c>
      <c r="AB2" s="2" t="n">
        <v>4.8</v>
      </c>
      <c r="AC2" s="2" t="n">
        <v>5</v>
      </c>
      <c r="AD2" s="2" t="n">
        <v>4.7</v>
      </c>
      <c r="AE2" s="2" t="n">
        <v>4.9</v>
      </c>
      <c r="AF2" s="3" t="n">
        <v>4.9</v>
      </c>
      <c r="AG2" s="5"/>
      <c r="AH2" s="5"/>
      <c r="AI2" s="5"/>
      <c r="AJ2" s="5"/>
      <c r="AK2" s="5"/>
      <c r="AL2" s="5"/>
      <c r="AM2" s="2"/>
      <c r="AN2" s="2" t="n">
        <v>6.13</v>
      </c>
      <c r="AO2" s="2" t="n">
        <v>5.99</v>
      </c>
      <c r="AP2" s="2"/>
      <c r="AQ2" s="2"/>
      <c r="AR2" s="3" t="n">
        <f aca="false">I2-O2-P2-Q2-R2</f>
        <v>4.07513333333333</v>
      </c>
      <c r="AS2" s="3" t="n">
        <v>8.49</v>
      </c>
      <c r="AT2" s="3" t="n">
        <v>20</v>
      </c>
      <c r="AU2" s="3" t="n">
        <v>100</v>
      </c>
      <c r="AV2" s="3" t="n">
        <f aca="false">50*50*100</f>
        <v>250000</v>
      </c>
      <c r="AW2" s="5"/>
      <c r="AX2" s="5"/>
      <c r="AY2" s="3" t="n">
        <v>4.9</v>
      </c>
      <c r="AZ2" s="3" t="n">
        <v>10</v>
      </c>
      <c r="BA2" s="3" t="n">
        <v>85</v>
      </c>
      <c r="BB2" s="3" t="n">
        <f aca="false">14000+1284+13600+5670</f>
        <v>34554</v>
      </c>
      <c r="BC2" s="3" t="n">
        <v>268400</v>
      </c>
      <c r="BD2" s="3" t="n">
        <f aca="false">7700000+28600000</f>
        <v>36300000</v>
      </c>
      <c r="BE2" s="3" t="n">
        <v>0.08</v>
      </c>
      <c r="BF2" s="3" t="n">
        <v>0.02</v>
      </c>
      <c r="BG2" s="3" t="n">
        <v>0.02</v>
      </c>
      <c r="BH2" s="3" t="n">
        <v>0.035</v>
      </c>
      <c r="BI2" s="3" t="n">
        <v>0.08</v>
      </c>
      <c r="BJ2" s="3" t="n">
        <v>0.2</v>
      </c>
    </row>
    <row r="3" customFormat="false" ht="12.8" hidden="false" customHeight="false" outlineLevel="0" collapsed="false">
      <c r="A3" s="2" t="n">
        <v>2</v>
      </c>
      <c r="B3" s="2" t="s">
        <v>64</v>
      </c>
      <c r="C3" s="2" t="s">
        <v>63</v>
      </c>
      <c r="D3" s="2" t="n">
        <v>6.61</v>
      </c>
      <c r="E3" s="2" t="n">
        <v>9.99</v>
      </c>
      <c r="F3" s="2" t="n">
        <v>10</v>
      </c>
      <c r="G3" s="2" t="n">
        <v>7.93</v>
      </c>
      <c r="H3" s="2" t="n">
        <v>13.44</v>
      </c>
      <c r="I3" s="3" t="n">
        <f aca="false">AVERAGE(D3:H3)</f>
        <v>9.594</v>
      </c>
      <c r="J3" s="2"/>
      <c r="K3" s="2"/>
      <c r="L3" s="2"/>
      <c r="M3" s="2"/>
      <c r="N3" s="2"/>
      <c r="O3" s="3" t="n">
        <v>1.2</v>
      </c>
      <c r="P3" s="3" t="n">
        <v>0.5</v>
      </c>
      <c r="Q3" s="3" t="n">
        <f aca="false">0.1*I3</f>
        <v>0.9594</v>
      </c>
      <c r="R3" s="3" t="n">
        <f aca="false">0.08*I3</f>
        <v>0.76752</v>
      </c>
      <c r="S3" s="3" t="n">
        <v>0.1</v>
      </c>
      <c r="T3" s="3" t="n">
        <f aca="false">1000+386+148+58+93+11+2+47+89+23+46+1+15+37+8</f>
        <v>1964</v>
      </c>
      <c r="U3" s="5"/>
      <c r="V3" s="5"/>
      <c r="W3" s="3" t="n">
        <v>0.0143</v>
      </c>
      <c r="X3" s="3" t="n">
        <v>4.8</v>
      </c>
      <c r="Y3" s="3" t="n">
        <f aca="false">1400+52+20+24+48+60</f>
        <v>1604</v>
      </c>
      <c r="Z3" s="3" t="n">
        <f aca="false">60*4</f>
        <v>240</v>
      </c>
      <c r="AA3" s="2" t="n">
        <v>4.8</v>
      </c>
      <c r="AB3" s="2" t="n">
        <v>4.8</v>
      </c>
      <c r="AC3" s="2" t="n">
        <v>4.9</v>
      </c>
      <c r="AD3" s="2" t="n">
        <v>5</v>
      </c>
      <c r="AE3" s="2" t="n">
        <v>4.8</v>
      </c>
      <c r="AF3" s="3" t="n">
        <f aca="false">AVERAGE(AA3:AE3)</f>
        <v>4.86</v>
      </c>
      <c r="AG3" s="5"/>
      <c r="AH3" s="5"/>
      <c r="AI3" s="5"/>
      <c r="AJ3" s="5"/>
      <c r="AK3" s="5"/>
      <c r="AL3" s="5"/>
      <c r="AM3" s="2" t="n">
        <f aca="false">D3-$O3-$P3-$Q3-$R3</f>
        <v>3.18308</v>
      </c>
      <c r="AN3" s="2" t="n">
        <f aca="false">E3-$O3-$P3-$Q3-$R3</f>
        <v>6.56308</v>
      </c>
      <c r="AO3" s="2" t="n">
        <f aca="false">F3-$O3-$P3-$Q3-$R3</f>
        <v>6.57308</v>
      </c>
      <c r="AP3" s="2" t="n">
        <f aca="false">G3-$O3-$P3-$Q3-$R3</f>
        <v>4.50308</v>
      </c>
      <c r="AQ3" s="2" t="n">
        <f aca="false">H3-$O3-$P3-$Q3-$R3</f>
        <v>10.01308</v>
      </c>
      <c r="AR3" s="3" t="n">
        <f aca="false">AVERAGE(AM3:AQ3)</f>
        <v>6.16708</v>
      </c>
      <c r="AS3" s="3" t="n">
        <v>9.594</v>
      </c>
      <c r="AT3" s="3" t="n">
        <v>20</v>
      </c>
      <c r="AU3" s="3" t="n">
        <v>25</v>
      </c>
      <c r="AV3" s="3" t="n">
        <f aca="false">9*6.5*1.6</f>
        <v>93.6</v>
      </c>
      <c r="AW3" s="5"/>
      <c r="AX3" s="5"/>
      <c r="AY3" s="3" t="n">
        <v>4.8</v>
      </c>
      <c r="AZ3" s="3" t="n">
        <v>5040</v>
      </c>
      <c r="BA3" s="3" t="n">
        <v>85</v>
      </c>
      <c r="BB3" s="3" t="n">
        <f aca="false">40600+5744+1089+13600+7341+24300+11500+474800</f>
        <v>578974</v>
      </c>
      <c r="BC3" s="3" t="n">
        <f aca="false">43+30+6766+941</f>
        <v>7780</v>
      </c>
      <c r="BD3" s="3" t="n">
        <v>17600000</v>
      </c>
      <c r="BE3" s="3" t="n">
        <v>0.08</v>
      </c>
      <c r="BF3" s="3" t="n">
        <v>0.02</v>
      </c>
      <c r="BG3" s="3" t="n">
        <v>0.02</v>
      </c>
      <c r="BH3" s="3" t="n">
        <v>0.035</v>
      </c>
      <c r="BI3" s="3" t="n">
        <v>0.08</v>
      </c>
      <c r="BJ3" s="3" t="n">
        <v>0.2</v>
      </c>
    </row>
    <row r="4" customFormat="false" ht="12.8" hidden="false" customHeight="false" outlineLevel="0" collapsed="false">
      <c r="A4" s="2" t="n">
        <v>3</v>
      </c>
      <c r="B4" s="2" t="s">
        <v>65</v>
      </c>
      <c r="C4" s="2" t="s">
        <v>63</v>
      </c>
      <c r="D4" s="2" t="n">
        <v>3.82</v>
      </c>
      <c r="E4" s="2" t="n">
        <v>4.84</v>
      </c>
      <c r="F4" s="2" t="n">
        <v>12.64</v>
      </c>
      <c r="G4" s="2" t="n">
        <v>4.84</v>
      </c>
      <c r="H4" s="2" t="n">
        <v>6.54</v>
      </c>
      <c r="I4" s="3" t="n">
        <f aca="false">AVERAGE(D4:H4)</f>
        <v>6.536</v>
      </c>
      <c r="J4" s="2"/>
      <c r="K4" s="2"/>
      <c r="L4" s="2"/>
      <c r="M4" s="2"/>
      <c r="N4" s="2"/>
      <c r="O4" s="3" t="n">
        <v>0.7</v>
      </c>
      <c r="P4" s="3" t="n">
        <v>0.6</v>
      </c>
      <c r="Q4" s="3" t="n">
        <f aca="false">0.1*I4</f>
        <v>0.6536</v>
      </c>
      <c r="R4" s="3" t="n">
        <f aca="false">0.08*I4</f>
        <v>0.52288</v>
      </c>
      <c r="S4" s="3" t="n">
        <v>0.08</v>
      </c>
      <c r="T4" s="3" t="n">
        <f aca="false">20000+40000+300000+500000+200000+30000+6000+400000+50000+100000</f>
        <v>1646000</v>
      </c>
      <c r="U4" s="5"/>
      <c r="V4" s="5"/>
      <c r="W4" s="3" t="n">
        <v>0.0315</v>
      </c>
      <c r="X4" s="3" t="n">
        <v>4.9</v>
      </c>
      <c r="Y4" s="3" t="n">
        <f aca="false">53200+2800+5300+25000+28900+1100+3100+6800+1400+2600</f>
        <v>130200</v>
      </c>
      <c r="Z4" s="3" t="n">
        <f aca="false">12*5*6</f>
        <v>360</v>
      </c>
      <c r="AA4" s="2" t="n">
        <v>4.9</v>
      </c>
      <c r="AB4" s="2" t="n">
        <v>4.9</v>
      </c>
      <c r="AC4" s="2" t="n">
        <v>5</v>
      </c>
      <c r="AD4" s="2" t="n">
        <v>4.9</v>
      </c>
      <c r="AE4" s="2" t="n">
        <v>5</v>
      </c>
      <c r="AF4" s="3" t="n">
        <f aca="false">AVERAGE(AA4:AE4)</f>
        <v>4.94</v>
      </c>
      <c r="AG4" s="5"/>
      <c r="AH4" s="5"/>
      <c r="AI4" s="5"/>
      <c r="AJ4" s="5"/>
      <c r="AK4" s="5"/>
      <c r="AL4" s="5"/>
      <c r="AM4" s="2" t="n">
        <f aca="false">D4-$O4-$P4-$Q4-$R4</f>
        <v>1.34352</v>
      </c>
      <c r="AN4" s="2" t="n">
        <f aca="false">E4-$O4-$P4-$Q4-$R4</f>
        <v>2.36352</v>
      </c>
      <c r="AO4" s="2" t="n">
        <f aca="false">F4-$O4-$P4-$Q4-$R4</f>
        <v>10.16352</v>
      </c>
      <c r="AP4" s="2" t="n">
        <f aca="false">G4-$O4-$P4-$Q4-$R4</f>
        <v>2.36352</v>
      </c>
      <c r="AQ4" s="2" t="n">
        <f aca="false">H4-$O4-$P4-$Q4-$R4</f>
        <v>4.06352</v>
      </c>
      <c r="AR4" s="3" t="n">
        <f aca="false">AVERAGE(AM4:AQ4)</f>
        <v>4.05952</v>
      </c>
      <c r="AS4" s="3" t="n">
        <v>6.536</v>
      </c>
      <c r="AT4" s="3" t="n">
        <f aca="false">5+14</f>
        <v>19</v>
      </c>
      <c r="AU4" s="3" t="n">
        <v>17</v>
      </c>
      <c r="AV4" s="3" t="n">
        <f aca="false">6.5*6.5*1.5</f>
        <v>63.375</v>
      </c>
      <c r="AW4" s="5"/>
      <c r="AX4" s="5"/>
      <c r="AY4" s="3" t="n">
        <v>4.9</v>
      </c>
      <c r="AZ4" s="3" t="n">
        <v>100</v>
      </c>
      <c r="BA4" s="3" t="n">
        <v>87</v>
      </c>
      <c r="BB4" s="3" t="n">
        <f aca="false">54400+49900+11800+5190+251900+74300+17900+18000+50300+41600+177400+1400000</f>
        <v>2152690</v>
      </c>
      <c r="BC4" s="3" t="n">
        <v>73000</v>
      </c>
      <c r="BD4" s="3" t="n">
        <v>690800000</v>
      </c>
      <c r="BE4" s="3" t="n">
        <v>0.08</v>
      </c>
      <c r="BF4" s="3" t="n">
        <v>0.02</v>
      </c>
      <c r="BG4" s="3" t="n">
        <v>0.02</v>
      </c>
      <c r="BH4" s="3" t="n">
        <v>0.035</v>
      </c>
      <c r="BI4" s="3" t="n">
        <v>0.08</v>
      </c>
      <c r="BJ4" s="3" t="n">
        <v>0.2</v>
      </c>
    </row>
    <row r="5" customFormat="false" ht="12.8" hidden="false" customHeight="false" outlineLevel="0" collapsed="false">
      <c r="A5" s="5" t="n">
        <v>4</v>
      </c>
      <c r="B5" s="5" t="s">
        <v>66</v>
      </c>
      <c r="C5" s="5" t="s">
        <v>63</v>
      </c>
      <c r="D5" s="5" t="n">
        <v>12.1</v>
      </c>
      <c r="E5" s="5" t="n">
        <v>22.89</v>
      </c>
      <c r="F5" s="5" t="n">
        <v>9.81</v>
      </c>
      <c r="G5" s="5" t="n">
        <v>6.54</v>
      </c>
      <c r="H5" s="5" t="n">
        <v>7.46</v>
      </c>
      <c r="I5" s="3" t="n">
        <f aca="false">AVERAGE(D5:H5)</f>
        <v>11.76</v>
      </c>
      <c r="J5" s="5" t="n">
        <v>0.2</v>
      </c>
      <c r="K5" s="5" t="n">
        <v>0.07</v>
      </c>
      <c r="L5" s="5"/>
      <c r="M5" s="5"/>
      <c r="N5" s="5"/>
      <c r="O5" s="3" t="n">
        <f aca="false">AVERAGE(J5:K5)</f>
        <v>0.135</v>
      </c>
      <c r="P5" s="3" t="n">
        <v>0.6</v>
      </c>
      <c r="Q5" s="3" t="n">
        <f aca="false">0.1*I5</f>
        <v>1.176</v>
      </c>
      <c r="R5" s="3" t="n">
        <f aca="false">0.08*I5</f>
        <v>0.9408</v>
      </c>
      <c r="S5" s="3" t="n">
        <v>0.06</v>
      </c>
      <c r="T5" s="3" t="n">
        <f aca="false">1000+2000+853+1000+390+576+1000+532+716+513+304+813+238+261+152+359+333+124+150+300+602+853</f>
        <v>13069</v>
      </c>
      <c r="U5" s="5"/>
      <c r="V5" s="5"/>
      <c r="W5" s="3" t="n">
        <v>0.0315</v>
      </c>
      <c r="X5" s="3" t="n">
        <v>4.9</v>
      </c>
      <c r="Y5" s="3" t="n">
        <f aca="false">326+1900+364+136+86+51+30+102+9+32+10</f>
        <v>3046</v>
      </c>
      <c r="Z5" s="3" t="n">
        <f aca="false">18+6+2</f>
        <v>26</v>
      </c>
      <c r="AA5" s="5" t="n">
        <v>4.9</v>
      </c>
      <c r="AB5" s="5" t="n">
        <v>4.9</v>
      </c>
      <c r="AC5" s="5" t="n">
        <v>4.9</v>
      </c>
      <c r="AD5" s="5"/>
      <c r="AE5" s="5"/>
      <c r="AF5" s="3" t="n">
        <v>4.9</v>
      </c>
      <c r="AG5" s="5"/>
      <c r="AH5" s="5"/>
      <c r="AI5" s="5"/>
      <c r="AJ5" s="5"/>
      <c r="AK5" s="5"/>
      <c r="AL5" s="5"/>
      <c r="AM5" s="5" t="n">
        <f aca="false">D5-$O5-$P5-$Q5-$R5</f>
        <v>9.2482</v>
      </c>
      <c r="AN5" s="5" t="n">
        <f aca="false">E5-$O5-$P5-$Q5-$R5</f>
        <v>20.0382</v>
      </c>
      <c r="AO5" s="5" t="n">
        <f aca="false">F5-$O5-$P5-$Q5-$R5</f>
        <v>6.9582</v>
      </c>
      <c r="AP5" s="5" t="n">
        <f aca="false">G5-$O5-$P5-$Q5-$R5</f>
        <v>3.6882</v>
      </c>
      <c r="AQ5" s="5" t="n">
        <f aca="false">H5-$O5-$P5-$Q5-$R5</f>
        <v>4.6082</v>
      </c>
      <c r="AR5" s="3" t="n">
        <f aca="false">AVERAGE(AM5,AO5,AP5,AQ5)</f>
        <v>6.1257</v>
      </c>
      <c r="AS5" s="3" t="n">
        <v>11.76</v>
      </c>
      <c r="AT5" s="3" t="n">
        <v>30</v>
      </c>
      <c r="AU5" s="3" t="n">
        <v>1</v>
      </c>
      <c r="AV5" s="3" t="n">
        <f aca="false">1.06*1*6.9</f>
        <v>7.314</v>
      </c>
      <c r="AW5" s="5"/>
      <c r="AX5" s="5"/>
      <c r="AY5" s="3" t="n">
        <v>4.9</v>
      </c>
      <c r="AZ5" s="3" t="n">
        <v>100</v>
      </c>
      <c r="BA5" s="3" t="n">
        <v>85</v>
      </c>
      <c r="BB5" s="3" t="n">
        <f aca="false">51+11500+3537+339+38+3904+167400+123900+2021+9900+100700+6803+27100++10400+90000+54400+96300+23700+14500</f>
        <v>746493</v>
      </c>
      <c r="BC5" s="3" t="n">
        <f aca="false">55+1177</f>
        <v>1232</v>
      </c>
      <c r="BD5" s="3" t="n">
        <v>17600000</v>
      </c>
      <c r="BE5" s="3" t="n">
        <v>0.08</v>
      </c>
      <c r="BF5" s="3" t="n">
        <v>0.02</v>
      </c>
      <c r="BG5" s="3" t="n">
        <v>0.02</v>
      </c>
      <c r="BH5" s="3" t="n">
        <v>0.035</v>
      </c>
      <c r="BI5" s="3" t="n">
        <v>0.08</v>
      </c>
      <c r="BJ5" s="3" t="n">
        <v>0.2</v>
      </c>
    </row>
    <row r="6" customFormat="false" ht="12.8" hidden="false" customHeight="false" outlineLevel="0" collapsed="false">
      <c r="A6" s="5" t="n">
        <v>5</v>
      </c>
      <c r="B6" s="5" t="s">
        <v>67</v>
      </c>
      <c r="C6" s="5" t="s">
        <v>63</v>
      </c>
      <c r="D6" s="5" t="n">
        <v>35.8</v>
      </c>
      <c r="E6" s="5" t="n">
        <v>31.59</v>
      </c>
      <c r="F6" s="5" t="n">
        <v>31.79</v>
      </c>
      <c r="G6" s="5" t="n">
        <v>10.13</v>
      </c>
      <c r="H6" s="5" t="n">
        <v>56.32</v>
      </c>
      <c r="I6" s="6" t="n">
        <f aca="false">AVERAGE(35.8,31.59,31.79,10.13,56.32,17.29,28.99,17.29,30.01)</f>
        <v>28.8011111111111</v>
      </c>
      <c r="J6" s="5"/>
      <c r="K6" s="5"/>
      <c r="L6" s="5"/>
      <c r="M6" s="5"/>
      <c r="N6" s="5"/>
      <c r="O6" s="3" t="n">
        <v>3.2</v>
      </c>
      <c r="P6" s="3" t="n">
        <v>0.9</v>
      </c>
      <c r="Q6" s="6" t="n">
        <f aca="false">0.1*I6</f>
        <v>2.88011111111111</v>
      </c>
      <c r="R6" s="6" t="n">
        <f aca="false">0.08*I6</f>
        <v>2.30408888888889</v>
      </c>
      <c r="S6" s="6" t="n">
        <v>0.3</v>
      </c>
      <c r="T6" s="3" t="n">
        <f aca="false">1000+2000+7000+2000+10000+311+919+2000+3000+3000+3000+3000+9000+3000+3000+10000+1000+2000+3000+2000+3000+1000+10000+139+5000+3000+1000+9000+2000+1000+3000+4000+499+5000+7000+524+1000+794+1000+10000+2000+6000+4000+1000+842</f>
        <v>152028</v>
      </c>
      <c r="U6" s="5"/>
      <c r="V6" s="5"/>
      <c r="W6" s="3" t="n">
        <v>0.0161</v>
      </c>
      <c r="X6" s="3" t="n">
        <v>4.8</v>
      </c>
      <c r="Y6" s="3" t="n">
        <f aca="false">262+192+2000+134+764+286+236+304+1200+2200+1200+2100+662+4800+802</f>
        <v>17142</v>
      </c>
      <c r="Z6" s="3" t="n">
        <f aca="false">5*12*14</f>
        <v>840</v>
      </c>
      <c r="AA6" s="5"/>
      <c r="AB6" s="5"/>
      <c r="AC6" s="5"/>
      <c r="AD6" s="5"/>
      <c r="AE6" s="5"/>
      <c r="AF6" s="3" t="n">
        <v>4.9</v>
      </c>
      <c r="AG6" s="5"/>
      <c r="AH6" s="5"/>
      <c r="AI6" s="5"/>
      <c r="AJ6" s="5"/>
      <c r="AK6" s="5"/>
      <c r="AL6" s="5"/>
      <c r="AM6" s="5" t="n">
        <f aca="false">D6-$O6-$P6-$Q6-$R6</f>
        <v>26.5158</v>
      </c>
      <c r="AN6" s="5" t="n">
        <f aca="false">E6-$O6-$P6-$Q6-$R6</f>
        <v>22.3058</v>
      </c>
      <c r="AO6" s="5" t="n">
        <f aca="false">F6-$O6-$P6-$Q6-$R6</f>
        <v>22.5058</v>
      </c>
      <c r="AP6" s="5" t="n">
        <f aca="false">G6-$O6-$P6-$Q6-$R6</f>
        <v>0.845800000000001</v>
      </c>
      <c r="AQ6" s="5" t="n">
        <f aca="false">H6-$O6-$P6-$Q6-$R6</f>
        <v>47.0358</v>
      </c>
      <c r="AR6" s="3" t="n">
        <f aca="false">AVERAGE(AM6:AQ6)</f>
        <v>23.8418</v>
      </c>
      <c r="AS6" s="3" t="n">
        <v>28.8</v>
      </c>
      <c r="AT6" s="3" t="n">
        <f aca="false">7+7</f>
        <v>14</v>
      </c>
      <c r="AU6" s="3" t="n">
        <v>230</v>
      </c>
      <c r="AV6" s="3" t="n">
        <f aca="false">21*12*9</f>
        <v>2268</v>
      </c>
      <c r="AW6" s="5"/>
      <c r="AX6" s="5"/>
      <c r="AY6" s="3" t="n">
        <v>4.7</v>
      </c>
      <c r="AZ6" s="3" t="n">
        <v>1</v>
      </c>
      <c r="BA6" s="3" t="n">
        <v>85</v>
      </c>
      <c r="BB6" s="3" t="n">
        <f aca="false">4888+10800+275900+559700+20600+17000+36400+524500</f>
        <v>1449788</v>
      </c>
      <c r="BC6" s="3" t="n">
        <f aca="false">203200</f>
        <v>203200</v>
      </c>
      <c r="BD6" s="3" t="n">
        <v>1100000000</v>
      </c>
      <c r="BE6" s="3" t="n">
        <v>0.08</v>
      </c>
      <c r="BF6" s="3" t="n">
        <v>0.02</v>
      </c>
      <c r="BG6" s="3" t="n">
        <v>0.02</v>
      </c>
      <c r="BH6" s="3" t="n">
        <v>0.035</v>
      </c>
      <c r="BI6" s="3" t="n">
        <v>0.08</v>
      </c>
      <c r="BJ6" s="3" t="n">
        <v>0.2</v>
      </c>
    </row>
    <row r="7" customFormat="false" ht="12.8" hidden="false" customHeight="false" outlineLevel="0" collapsed="false">
      <c r="A7" s="5" t="n">
        <v>6</v>
      </c>
      <c r="B7" s="5" t="s">
        <v>68</v>
      </c>
      <c r="C7" s="5" t="s">
        <v>63</v>
      </c>
      <c r="D7" s="5" t="n">
        <v>6.39</v>
      </c>
      <c r="E7" s="5" t="n">
        <v>6.4</v>
      </c>
      <c r="F7" s="5" t="n">
        <v>9.2</v>
      </c>
      <c r="G7" s="5" t="n">
        <v>3.79</v>
      </c>
      <c r="H7" s="5" t="n">
        <v>9.82</v>
      </c>
      <c r="I7" s="3" t="n">
        <f aca="false">AVERAGE(D7:H7)</f>
        <v>7.12</v>
      </c>
      <c r="J7" s="5" t="n">
        <v>1.07</v>
      </c>
      <c r="K7" s="5" t="n">
        <v>0.84</v>
      </c>
      <c r="L7" s="5" t="n">
        <v>1.46</v>
      </c>
      <c r="M7" s="5" t="n">
        <v>0.38</v>
      </c>
      <c r="N7" s="5" t="n">
        <v>1.07</v>
      </c>
      <c r="O7" s="3" t="n">
        <f aca="false">AVERAGE(J7:N7)</f>
        <v>0.964</v>
      </c>
      <c r="P7" s="3" t="n">
        <v>0.6</v>
      </c>
      <c r="Q7" s="3" t="n">
        <f aca="false">0.1*I7</f>
        <v>0.712</v>
      </c>
      <c r="R7" s="3" t="n">
        <f aca="false">0.08*I7</f>
        <v>0.5696</v>
      </c>
      <c r="S7" s="3" t="n">
        <v>0.15</v>
      </c>
      <c r="T7" s="3" t="n">
        <f aca="false">200000+10000+30000+2000+300000+20000+7000+12000+20000+30000+5000+3000+20000+50000+6000+10000+5000+5000+1000+1000+8000+2000+7000+5000+60000</f>
        <v>819000</v>
      </c>
      <c r="U7" s="5"/>
      <c r="V7" s="5"/>
      <c r="W7" s="3" t="n">
        <v>0.0236</v>
      </c>
      <c r="X7" s="3" t="n">
        <v>4.8</v>
      </c>
      <c r="Y7" s="3" t="n">
        <f aca="false">38400+1900+3600+11400+2000+652+486+380+1100+2800+684+520+788+7200+416+1500+2200+204+476+12000+2500+291+410+619+619+1500+422+826</f>
        <v>95893</v>
      </c>
      <c r="Z7" s="3" t="n">
        <f aca="false">5*12*15</f>
        <v>900</v>
      </c>
      <c r="AA7" s="5"/>
      <c r="AB7" s="5"/>
      <c r="AC7" s="5"/>
      <c r="AD7" s="5"/>
      <c r="AE7" s="5"/>
      <c r="AF7" s="3" t="n">
        <v>4.8</v>
      </c>
      <c r="AG7" s="5"/>
      <c r="AH7" s="5"/>
      <c r="AI7" s="5"/>
      <c r="AJ7" s="5"/>
      <c r="AK7" s="5"/>
      <c r="AL7" s="5"/>
      <c r="AM7" s="5" t="n">
        <f aca="false">D7-$O7-$P7-$Q7-$R7</f>
        <v>3.5444</v>
      </c>
      <c r="AN7" s="5" t="n">
        <f aca="false">E7-$O7-$P7-$Q7-$R7</f>
        <v>3.5544</v>
      </c>
      <c r="AO7" s="5" t="n">
        <f aca="false">F7-$O7-$P7-$Q7-$R7</f>
        <v>6.3544</v>
      </c>
      <c r="AP7" s="5" t="n">
        <f aca="false">G7-$O7-$P7-$Q7-$R7</f>
        <v>0.9444</v>
      </c>
      <c r="AQ7" s="5" t="n">
        <f aca="false">H7-$O7-$P7-$Q7-$R7</f>
        <v>6.9744</v>
      </c>
      <c r="AR7" s="3" t="n">
        <f aca="false">AVERAGE(AM7:AQ7)</f>
        <v>4.2744</v>
      </c>
      <c r="AS7" s="3" t="n">
        <v>7.12</v>
      </c>
      <c r="AT7" s="3" t="n">
        <v>14</v>
      </c>
      <c r="AU7" s="3" t="n">
        <v>230</v>
      </c>
      <c r="AV7" s="3" t="n">
        <f aca="false">11*5*5</f>
        <v>275</v>
      </c>
      <c r="AW7" s="5"/>
      <c r="AX7" s="5"/>
      <c r="AY7" s="3" t="n">
        <v>4.7</v>
      </c>
      <c r="AZ7" s="3" t="n">
        <v>1</v>
      </c>
      <c r="BA7" s="3" t="n">
        <v>85</v>
      </c>
      <c r="BB7" s="3" t="n">
        <f aca="false">18100+20100+22200+13500+3343+6581+1493+4693+2851+2282+64900+10000+19200+5000</f>
        <v>194243</v>
      </c>
      <c r="BC7" s="3" t="n">
        <v>23100</v>
      </c>
      <c r="BD7" s="3" t="n">
        <v>9200000</v>
      </c>
      <c r="BE7" s="3" t="n">
        <v>0.08</v>
      </c>
      <c r="BF7" s="3" t="n">
        <v>0.02</v>
      </c>
      <c r="BG7" s="3" t="n">
        <v>0.02</v>
      </c>
      <c r="BH7" s="3" t="n">
        <v>0.035</v>
      </c>
      <c r="BI7" s="3" t="n">
        <v>0.08</v>
      </c>
      <c r="BJ7" s="3" t="n">
        <v>0.2</v>
      </c>
    </row>
    <row r="8" customFormat="false" ht="12.8" hidden="false" customHeight="false" outlineLevel="0" collapsed="false">
      <c r="A8" s="5" t="n">
        <v>7</v>
      </c>
      <c r="B8" s="5" t="s">
        <v>69</v>
      </c>
      <c r="C8" s="5" t="s">
        <v>63</v>
      </c>
      <c r="D8" s="5" t="n">
        <v>22.02</v>
      </c>
      <c r="E8" s="5" t="n">
        <v>16.95</v>
      </c>
      <c r="F8" s="5" t="n">
        <v>7.72</v>
      </c>
      <c r="G8" s="5" t="n">
        <v>29.6</v>
      </c>
      <c r="H8" s="5" t="n">
        <v>10.8</v>
      </c>
      <c r="I8" s="3" t="n">
        <f aca="false">AVERAGE(D8:H8)</f>
        <v>17.418</v>
      </c>
      <c r="J8" s="5" t="n">
        <v>1.6</v>
      </c>
      <c r="K8" s="5" t="n">
        <v>0.77</v>
      </c>
      <c r="L8" s="5" t="n">
        <v>1.35</v>
      </c>
      <c r="M8" s="5" t="n">
        <v>5.74</v>
      </c>
      <c r="N8" s="5" t="n">
        <v>4.8</v>
      </c>
      <c r="O8" s="3" t="n">
        <f aca="false">AVERAGE(J8:N8)</f>
        <v>2.852</v>
      </c>
      <c r="P8" s="3" t="n">
        <v>0.5</v>
      </c>
      <c r="Q8" s="3" t="n">
        <f aca="false">0.1*I8</f>
        <v>1.7418</v>
      </c>
      <c r="R8" s="3" t="n">
        <f aca="false">0.08*I8</f>
        <v>1.39344</v>
      </c>
      <c r="S8" s="3" t="n">
        <v>0.1</v>
      </c>
      <c r="T8" s="3" t="n">
        <f aca="false">309+1000+658+234+184+1000+477+43+452+50</f>
        <v>4407</v>
      </c>
      <c r="U8" s="5"/>
      <c r="V8" s="5"/>
      <c r="W8" s="3" t="n">
        <v>0.0315</v>
      </c>
      <c r="X8" s="3" t="n">
        <v>4.9</v>
      </c>
      <c r="Y8" s="3" t="n">
        <f aca="false">61+606+58+223+28+467+81+87</f>
        <v>1611</v>
      </c>
      <c r="Z8" s="3" t="n">
        <v>19</v>
      </c>
      <c r="AA8" s="5"/>
      <c r="AB8" s="5"/>
      <c r="AC8" s="5"/>
      <c r="AD8" s="5"/>
      <c r="AE8" s="5"/>
      <c r="AF8" s="3" t="n">
        <v>4.9</v>
      </c>
      <c r="AG8" s="5"/>
      <c r="AH8" s="5"/>
      <c r="AI8" s="5"/>
      <c r="AJ8" s="5"/>
      <c r="AK8" s="5"/>
      <c r="AL8" s="5"/>
      <c r="AM8" s="5" t="n">
        <f aca="false">D8-$O8-$P8-$Q8-$R8</f>
        <v>15.53276</v>
      </c>
      <c r="AN8" s="5" t="n">
        <f aca="false">E8-$O8-$P8-$Q8-$R8</f>
        <v>10.46276</v>
      </c>
      <c r="AO8" s="5" t="n">
        <f aca="false">F8-$O8-$P8-$Q8-$R8</f>
        <v>1.23276</v>
      </c>
      <c r="AP8" s="5" t="n">
        <f aca="false">G8-$O8-$P8-$Q8-$R8</f>
        <v>23.11276</v>
      </c>
      <c r="AQ8" s="5" t="n">
        <f aca="false">H8-$O8-$P8-$Q8-$R8</f>
        <v>4.31276</v>
      </c>
      <c r="AR8" s="3" t="n">
        <f aca="false">AVERAGE(AM8:AQ8)</f>
        <v>10.93076</v>
      </c>
      <c r="AS8" s="3" t="n">
        <v>17.418</v>
      </c>
      <c r="AT8" s="3" t="n">
        <v>14</v>
      </c>
      <c r="AU8" s="3" t="n">
        <v>20</v>
      </c>
      <c r="AV8" s="3" t="n">
        <f aca="false">15*8.5*1</f>
        <v>127.5</v>
      </c>
      <c r="AW8" s="5"/>
      <c r="AX8" s="5"/>
      <c r="AY8" s="3" t="n">
        <v>5</v>
      </c>
      <c r="AZ8" s="3" t="n">
        <v>1</v>
      </c>
      <c r="BA8" s="3" t="n">
        <v>85</v>
      </c>
      <c r="BB8" s="3" t="n">
        <f aca="false">531000+48600+3900000+186400+843800</f>
        <v>5509800</v>
      </c>
      <c r="BC8" s="3" t="n">
        <v>76100</v>
      </c>
      <c r="BD8" s="3" t="n">
        <v>192800000</v>
      </c>
      <c r="BE8" s="3" t="n">
        <v>0.08</v>
      </c>
      <c r="BF8" s="3" t="n">
        <v>0.02</v>
      </c>
      <c r="BG8" s="3" t="n">
        <v>0.02</v>
      </c>
      <c r="BH8" s="3" t="n">
        <v>0.035</v>
      </c>
      <c r="BI8" s="3" t="n">
        <v>0.08</v>
      </c>
      <c r="BJ8" s="3" t="n">
        <v>0.2</v>
      </c>
    </row>
    <row r="9" customFormat="false" ht="12.8" hidden="false" customHeight="false" outlineLevel="0" collapsed="false">
      <c r="A9" s="5" t="n">
        <v>8</v>
      </c>
      <c r="B9" s="5" t="s">
        <v>70</v>
      </c>
      <c r="C9" s="5" t="s">
        <v>63</v>
      </c>
      <c r="D9" s="5" t="n">
        <v>11.05</v>
      </c>
      <c r="E9" s="5" t="n">
        <v>19.08</v>
      </c>
      <c r="F9" s="5" t="n">
        <v>6.17</v>
      </c>
      <c r="G9" s="5" t="n">
        <v>8.18</v>
      </c>
      <c r="H9" s="5" t="n">
        <v>12.01</v>
      </c>
      <c r="I9" s="5" t="n">
        <f aca="false">AVERAGE(D9:H9)</f>
        <v>11.298</v>
      </c>
      <c r="J9" s="5"/>
      <c r="K9" s="5"/>
      <c r="L9" s="5"/>
      <c r="M9" s="5"/>
      <c r="N9" s="5"/>
      <c r="O9" s="5" t="n">
        <v>3</v>
      </c>
      <c r="P9" s="5" t="n">
        <v>0.6</v>
      </c>
      <c r="Q9" s="5" t="n">
        <f aca="false">0.1*I9</f>
        <v>1.1298</v>
      </c>
      <c r="R9" s="5" t="n">
        <f aca="false">0.08*I9</f>
        <v>0.90384</v>
      </c>
      <c r="S9" s="5" t="n">
        <v>0.25</v>
      </c>
      <c r="T9" s="5" t="n">
        <f aca="false">4000+200000+2000+100000+2000+1000+50000+200000+200000+60000+3000+20000+60000+100000+10000+90000+80000+100000</f>
        <v>1282000</v>
      </c>
      <c r="U9" s="5"/>
      <c r="V9" s="5"/>
      <c r="W9" s="5" t="n">
        <v>0.0315</v>
      </c>
      <c r="X9" s="5" t="n">
        <v>5</v>
      </c>
      <c r="Y9" s="5" t="n">
        <f aca="false">1000+39100+684+25100+589+32400+25200+10100+2800+413+14400+30400+756+3900+21000+22900</f>
        <v>230742</v>
      </c>
      <c r="Z9" s="5" t="n">
        <f aca="false">5*12*7</f>
        <v>420</v>
      </c>
      <c r="AA9" s="5"/>
      <c r="AB9" s="5"/>
      <c r="AC9" s="5"/>
      <c r="AD9" s="5"/>
      <c r="AE9" s="5"/>
      <c r="AF9" s="5" t="n">
        <v>4.9</v>
      </c>
      <c r="AG9" s="5"/>
      <c r="AH9" s="5"/>
      <c r="AI9" s="5"/>
      <c r="AJ9" s="5"/>
      <c r="AK9" s="5"/>
      <c r="AL9" s="5"/>
      <c r="AM9" s="5" t="n">
        <f aca="false">D9-$O9-$P9-$Q9-$R9</f>
        <v>5.41636</v>
      </c>
      <c r="AN9" s="5" t="n">
        <f aca="false">E9-$O9-$P9-$Q9-$R9</f>
        <v>13.44636</v>
      </c>
      <c r="AO9" s="5" t="n">
        <f aca="false">F9-$O9-$P9-$Q9-$R9</f>
        <v>0.53636</v>
      </c>
      <c r="AP9" s="5" t="n">
        <f aca="false">G9-$O9-$P9-$Q9-$R9</f>
        <v>2.54636</v>
      </c>
      <c r="AQ9" s="5" t="n">
        <f aca="false">H9-$O9-$P9-$Q9-$R9</f>
        <v>6.37636</v>
      </c>
      <c r="AR9" s="5" t="n">
        <f aca="false">AVERAGE(AM9:AQ9)</f>
        <v>5.66436</v>
      </c>
      <c r="AS9" s="5" t="n">
        <v>11.298</v>
      </c>
      <c r="AT9" s="5" t="n">
        <v>16</v>
      </c>
      <c r="AU9" s="5" t="n">
        <v>187</v>
      </c>
      <c r="AV9" s="5" t="n">
        <f aca="false">4.4*4.4*11</f>
        <v>212.96</v>
      </c>
      <c r="AW9" s="5"/>
      <c r="AX9" s="5"/>
      <c r="AY9" s="5" t="n">
        <v>4.9</v>
      </c>
      <c r="AZ9" s="5" t="n">
        <v>500</v>
      </c>
      <c r="BA9" s="5" t="n">
        <v>85</v>
      </c>
      <c r="BB9" s="5" t="n">
        <f aca="false">7372+16800+18000+77500+30800+8248+14400+296000+5644+13700+11100+24000+11700+12000+12100</f>
        <v>559364</v>
      </c>
      <c r="BC9" s="5" t="n">
        <v>15200</v>
      </c>
      <c r="BD9" s="5" t="n">
        <v>301700000</v>
      </c>
      <c r="BE9" s="5" t="n">
        <v>0.08</v>
      </c>
      <c r="BF9" s="5" t="n">
        <v>0.02</v>
      </c>
      <c r="BG9" s="5" t="n">
        <v>0.02</v>
      </c>
      <c r="BH9" s="3" t="n">
        <v>0.035</v>
      </c>
      <c r="BI9" s="5" t="n">
        <v>0.08</v>
      </c>
      <c r="BJ9" s="5" t="n">
        <v>0.2</v>
      </c>
    </row>
    <row r="10" customFormat="false" ht="12.8" hidden="false" customHeight="false" outlineLevel="0" collapsed="false">
      <c r="A10" s="5" t="n">
        <v>9</v>
      </c>
      <c r="B10" s="5" t="s">
        <v>71</v>
      </c>
      <c r="C10" s="5" t="s">
        <v>63</v>
      </c>
      <c r="D10" s="5" t="n">
        <v>15.36</v>
      </c>
      <c r="E10" s="5" t="n">
        <v>9.9</v>
      </c>
      <c r="F10" s="5" t="n">
        <v>11.81</v>
      </c>
      <c r="G10" s="5" t="n">
        <v>16.35</v>
      </c>
      <c r="H10" s="5" t="n">
        <v>14.39</v>
      </c>
      <c r="I10" s="5" t="n">
        <f aca="false">AVERAGE(D10:H10)</f>
        <v>13.562</v>
      </c>
      <c r="J10" s="5"/>
      <c r="K10" s="5"/>
      <c r="L10" s="5"/>
      <c r="M10" s="5"/>
      <c r="N10" s="5"/>
      <c r="O10" s="5" t="n">
        <v>3</v>
      </c>
      <c r="P10" s="5" t="n">
        <v>0.6</v>
      </c>
      <c r="Q10" s="5" t="n">
        <f aca="false">0.1*I10</f>
        <v>1.3562</v>
      </c>
      <c r="R10" s="5" t="n">
        <f aca="false">0.08*I10</f>
        <v>1.08496</v>
      </c>
      <c r="S10" s="5" t="n">
        <v>0.2</v>
      </c>
      <c r="T10" s="5" t="n">
        <f aca="false">100000+100000+50000</f>
        <v>250000</v>
      </c>
      <c r="U10" s="5"/>
      <c r="V10" s="5"/>
      <c r="W10" s="5" t="n">
        <v>0.0315</v>
      </c>
      <c r="X10" s="5" t="n">
        <v>4.9</v>
      </c>
      <c r="Y10" s="5" t="n">
        <f aca="false">22600+12400+481</f>
        <v>35481</v>
      </c>
      <c r="Z10" s="5" t="n">
        <v>26</v>
      </c>
      <c r="AA10" s="5"/>
      <c r="AB10" s="5"/>
      <c r="AC10" s="5"/>
      <c r="AD10" s="5"/>
      <c r="AE10" s="5"/>
      <c r="AF10" s="5" t="n">
        <v>4.9</v>
      </c>
      <c r="AG10" s="5"/>
      <c r="AH10" s="5"/>
      <c r="AI10" s="5"/>
      <c r="AJ10" s="5"/>
      <c r="AK10" s="5"/>
      <c r="AL10" s="5"/>
      <c r="AM10" s="5" t="n">
        <f aca="false">D10-$O10-$P10-$Q10-$R10</f>
        <v>9.31884</v>
      </c>
      <c r="AN10" s="5" t="n">
        <f aca="false">E10-$O10-$P10-$Q10-$R10</f>
        <v>3.85884</v>
      </c>
      <c r="AO10" s="5" t="n">
        <f aca="false">F10-$O10-$P10-$Q10-$R10</f>
        <v>5.76884</v>
      </c>
      <c r="AP10" s="5" t="n">
        <f aca="false">G10-$O10-$P10-$Q10-$R10</f>
        <v>10.30884</v>
      </c>
      <c r="AQ10" s="5" t="n">
        <f aca="false">H10-$O10-$P10-$Q10-$R10</f>
        <v>8.34884</v>
      </c>
      <c r="AR10" s="5" t="n">
        <f aca="false">AVERAGE(AM10:AQ10)</f>
        <v>7.52084</v>
      </c>
      <c r="AS10" s="5" t="n">
        <v>13.562</v>
      </c>
      <c r="AT10" s="5" t="n">
        <v>27</v>
      </c>
      <c r="AU10" s="5" t="n">
        <v>150</v>
      </c>
      <c r="AV10" s="5" t="n">
        <f aca="false">10*4.5*4.5</f>
        <v>202.5</v>
      </c>
      <c r="AW10" s="5"/>
      <c r="AX10" s="5"/>
      <c r="AY10" s="5" t="n">
        <v>4.8</v>
      </c>
      <c r="AZ10" s="5" t="n">
        <v>500</v>
      </c>
      <c r="BA10" s="5" t="n">
        <v>85</v>
      </c>
      <c r="BB10" s="5" t="n">
        <f aca="false">30+57+142+8+89+4+12+181+11500+253</f>
        <v>12276</v>
      </c>
      <c r="BC10" s="5" t="n">
        <v>21100</v>
      </c>
      <c r="BD10" s="5" t="n">
        <v>3100000000</v>
      </c>
      <c r="BE10" s="5" t="n">
        <v>0.08</v>
      </c>
      <c r="BF10" s="5" t="n">
        <v>0.02</v>
      </c>
      <c r="BG10" s="5" t="n">
        <v>0.02</v>
      </c>
      <c r="BH10" s="3" t="n">
        <v>0.035</v>
      </c>
      <c r="BI10" s="5" t="n">
        <v>0.08</v>
      </c>
      <c r="BJ10" s="5" t="n">
        <v>0.2</v>
      </c>
    </row>
    <row r="11" customFormat="false" ht="12.8" hidden="false" customHeight="false" outlineLevel="0" collapsed="false">
      <c r="A11" s="7" t="n">
        <v>10</v>
      </c>
      <c r="B11" s="7" t="s">
        <v>72</v>
      </c>
      <c r="C11" s="7" t="s">
        <v>63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 t="n">
        <v>0.45</v>
      </c>
      <c r="T11" s="7"/>
      <c r="U11" s="7"/>
      <c r="V11" s="7"/>
      <c r="W11" s="7" t="n">
        <v>0.0161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 t="n">
        <v>0.08</v>
      </c>
      <c r="BF11" s="7" t="n">
        <v>0.02</v>
      </c>
      <c r="BG11" s="7" t="n">
        <v>0.02</v>
      </c>
      <c r="BH11" s="7" t="n">
        <v>0.035</v>
      </c>
      <c r="BI11" s="7" t="n">
        <v>0.08</v>
      </c>
      <c r="BJ11" s="7" t="n">
        <v>0.2</v>
      </c>
    </row>
    <row r="12" customFormat="false" ht="12.8" hidden="false" customHeight="false" outlineLevel="0" collapsed="false">
      <c r="A12" s="7" t="n">
        <v>11</v>
      </c>
      <c r="B12" s="7" t="s">
        <v>73</v>
      </c>
      <c r="C12" s="7" t="s">
        <v>74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 t="n">
        <v>0.15</v>
      </c>
      <c r="T12" s="7"/>
      <c r="U12" s="7"/>
      <c r="V12" s="7"/>
      <c r="W12" s="7" t="n">
        <v>0.0779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 t="n">
        <v>0.08</v>
      </c>
      <c r="BF12" s="7" t="n">
        <v>0.02</v>
      </c>
      <c r="BG12" s="7" t="n">
        <v>0.02</v>
      </c>
      <c r="BH12" s="7" t="n">
        <v>0.035</v>
      </c>
      <c r="BI12" s="7" t="n">
        <v>0.08</v>
      </c>
      <c r="BJ12" s="7" t="n">
        <v>0.2</v>
      </c>
    </row>
    <row r="13" customFormat="false" ht="12.8" hidden="false" customHeight="false" outlineLevel="0" collapsed="false">
      <c r="A13" s="2" t="n">
        <v>12</v>
      </c>
      <c r="B13" s="2" t="s">
        <v>75</v>
      </c>
      <c r="C13" s="2" t="s">
        <v>74</v>
      </c>
      <c r="D13" s="2" t="n">
        <v>6.98</v>
      </c>
      <c r="E13" s="2" t="n">
        <v>13.91</v>
      </c>
      <c r="F13" s="2" t="n">
        <v>9.89</v>
      </c>
      <c r="G13" s="2" t="n">
        <v>14.61</v>
      </c>
      <c r="H13" s="2" t="n">
        <v>15.21</v>
      </c>
      <c r="I13" s="3" t="n">
        <f aca="false">AVERAGE(D13:H13)</f>
        <v>12.12</v>
      </c>
      <c r="J13" s="2" t="n">
        <v>2.43</v>
      </c>
      <c r="K13" s="2" t="n">
        <v>3.5</v>
      </c>
      <c r="L13" s="2" t="n">
        <v>0.86</v>
      </c>
      <c r="M13" s="2" t="n">
        <v>2.13</v>
      </c>
      <c r="N13" s="2" t="n">
        <v>1.74</v>
      </c>
      <c r="O13" s="3" t="n">
        <f aca="false">AVERAGE(J13:N13)</f>
        <v>2.132</v>
      </c>
      <c r="P13" s="3" t="n">
        <v>0.9</v>
      </c>
      <c r="Q13" s="3" t="n">
        <f aca="false">0.1*I13</f>
        <v>1.212</v>
      </c>
      <c r="R13" s="3" t="n">
        <f aca="false">0.08*I13</f>
        <v>0.9696</v>
      </c>
      <c r="S13" s="3" t="n">
        <v>0.12</v>
      </c>
      <c r="T13" s="3" t="n">
        <f aca="false">10000+8000+1000+4000+910+3000+10000+3000+3000+1000+1000+1000+2000+1000+3000+1000+1000+3000+4000+40000+4000+1000+3000+3000+1000+5000+3000+1000+1000+1000+10000+5000+3000+1000+8000+20000+1000+3000</f>
        <v>174910</v>
      </c>
      <c r="U13" s="5"/>
      <c r="V13" s="5"/>
      <c r="W13" s="3" t="n">
        <v>0.0779</v>
      </c>
      <c r="X13" s="8" t="n">
        <f aca="false">AVERAGE(4.8,4.7,4.8,4.8,4.7,4.9,4.8,4.9,4.9,4.9,4.9,4.8,4.8,4.8)</f>
        <v>4.82142857142857</v>
      </c>
      <c r="Y13" s="3" t="n">
        <f aca="false">3600+1300+280+550+206+573+2600+452+1200+664+198+399+722+198+213+361+459+249+213+461+149+1000+816+477+325+184+1500+249+2300+515+370+245+142+556+3700+944+374+366+686+404+118+1100+4900+1000+627</f>
        <v>37945</v>
      </c>
      <c r="Z13" s="3" t="n">
        <f aca="false">12*5*12</f>
        <v>720</v>
      </c>
      <c r="AA13" s="2"/>
      <c r="AB13" s="2"/>
      <c r="AC13" s="2"/>
      <c r="AD13" s="2"/>
      <c r="AE13" s="2"/>
      <c r="AF13" s="3" t="n">
        <v>4.8</v>
      </c>
      <c r="AG13" s="5" t="n">
        <v>21100</v>
      </c>
      <c r="AH13" s="5" t="n">
        <v>108700</v>
      </c>
      <c r="AI13" s="5" t="n">
        <v>41600</v>
      </c>
      <c r="AJ13" s="5" t="n">
        <v>6400</v>
      </c>
      <c r="AK13" s="5" t="n">
        <v>3600000</v>
      </c>
      <c r="AL13" s="5" t="n">
        <f aca="false">AVERAGE(AG13:AK13)</f>
        <v>755560</v>
      </c>
      <c r="AM13" s="2" t="n">
        <f aca="false">D13-$O13-$P13-$Q13-$R13</f>
        <v>1.7664</v>
      </c>
      <c r="AN13" s="2" t="n">
        <f aca="false">E13-$O13-$P13-$Q13-$R13</f>
        <v>8.6964</v>
      </c>
      <c r="AO13" s="2" t="n">
        <f aca="false">F13-$O13-$P13-$Q13-$R13</f>
        <v>4.6764</v>
      </c>
      <c r="AP13" s="2" t="n">
        <f aca="false">G13-$O13-$P13-$Q13-$R13</f>
        <v>9.3964</v>
      </c>
      <c r="AQ13" s="2" t="n">
        <f aca="false">H13-$O13-$P13-$Q13-$R13</f>
        <v>9.9964</v>
      </c>
      <c r="AR13" s="3" t="n">
        <f aca="false">AVERAGE(AM13:AQ13)</f>
        <v>6.9064</v>
      </c>
      <c r="AS13" s="3" t="n">
        <f aca="false">I13</f>
        <v>12.12</v>
      </c>
      <c r="AT13" s="3" t="n">
        <f aca="false">7+7</f>
        <v>14</v>
      </c>
      <c r="AU13" s="3" t="n">
        <v>240</v>
      </c>
      <c r="AV13" s="3" t="n">
        <f aca="false">27*67*2</f>
        <v>3618</v>
      </c>
      <c r="AW13" s="5"/>
      <c r="AX13" s="5"/>
      <c r="AY13" s="3" t="n">
        <v>4.8</v>
      </c>
      <c r="AZ13" s="3" t="n">
        <v>100</v>
      </c>
      <c r="BA13" s="3" t="n">
        <v>85</v>
      </c>
      <c r="BB13" s="3" t="n">
        <f aca="false">47300+14100+12300+2769+12900+94100+18300+4608+43400+124200+25600+85500+10400+10000+14000+10000+20400</f>
        <v>549877</v>
      </c>
      <c r="BC13" s="3" t="n">
        <f aca="false">4200+1100+450+50</f>
        <v>5800</v>
      </c>
      <c r="BD13" s="3" t="n">
        <f aca="false">34200000+8100000+760000+462100+70900</f>
        <v>43593000</v>
      </c>
      <c r="BE13" s="3" t="n">
        <v>0.08</v>
      </c>
      <c r="BF13" s="3" t="n">
        <v>0.02</v>
      </c>
      <c r="BG13" s="3" t="n">
        <v>0.02</v>
      </c>
      <c r="BH13" s="3" t="n">
        <v>0.035</v>
      </c>
      <c r="BI13" s="3" t="n">
        <v>0.08</v>
      </c>
      <c r="BJ13" s="3" t="n">
        <v>0.2</v>
      </c>
    </row>
    <row r="14" customFormat="false" ht="12.8" hidden="false" customHeight="false" outlineLevel="0" collapsed="false">
      <c r="A14" s="5" t="n">
        <v>13</v>
      </c>
      <c r="B14" s="5" t="s">
        <v>76</v>
      </c>
      <c r="C14" s="5" t="s">
        <v>74</v>
      </c>
      <c r="D14" s="5" t="n">
        <v>3.6</v>
      </c>
      <c r="E14" s="5" t="n">
        <v>4.14</v>
      </c>
      <c r="F14" s="5" t="n">
        <v>3.82</v>
      </c>
      <c r="G14" s="5" t="n">
        <v>5.78</v>
      </c>
      <c r="H14" s="5" t="n">
        <v>3.92</v>
      </c>
      <c r="I14" s="5" t="n">
        <f aca="false">AVERAGE(D14:H14)</f>
        <v>4.252</v>
      </c>
      <c r="J14" s="5" t="n">
        <v>1.07</v>
      </c>
      <c r="K14" s="5" t="n">
        <v>0.53</v>
      </c>
      <c r="L14" s="5" t="n">
        <v>1.07</v>
      </c>
      <c r="M14" s="5" t="n">
        <v>0.53</v>
      </c>
      <c r="N14" s="5" t="n">
        <v>1.04</v>
      </c>
      <c r="O14" s="5" t="n">
        <f aca="false">AVERAGE(J14:N14)</f>
        <v>0.848</v>
      </c>
      <c r="P14" s="5" t="n">
        <v>0.9</v>
      </c>
      <c r="Q14" s="5" t="n">
        <f aca="false">0.1*I14</f>
        <v>0.4252</v>
      </c>
      <c r="R14" s="5" t="n">
        <f aca="false">0.08*I14</f>
        <v>0.34016</v>
      </c>
      <c r="S14" s="5" t="n">
        <v>0.08</v>
      </c>
      <c r="T14" s="5" t="n">
        <f aca="false">80000+50000+1000+3000+100000+200000+452+1000+100000+10000+50000+2000+2000+5000+20000+700+6000+10000+1000+7000+1000+1000+1000+1000+1000+1000+1000+4000+5000</f>
        <v>665152</v>
      </c>
      <c r="U14" s="5"/>
      <c r="V14" s="5"/>
      <c r="W14" s="5" t="n">
        <v>0.0779</v>
      </c>
      <c r="X14" s="5" t="n">
        <v>4.9</v>
      </c>
      <c r="Y14" s="1" t="n">
        <f aca="false">5500+10000+2700+7700+1500+5000+2000+28800+440+3200+1600+1100+852+7100+175+1200+5100+2600+897+61+148</f>
        <v>87673</v>
      </c>
      <c r="Z14" s="5" t="n">
        <f aca="false">5*12*6</f>
        <v>360</v>
      </c>
      <c r="AA14" s="5"/>
      <c r="AB14" s="5"/>
      <c r="AC14" s="5"/>
      <c r="AD14" s="5"/>
      <c r="AE14" s="5"/>
      <c r="AF14" s="5" t="n">
        <v>4.8</v>
      </c>
      <c r="AG14" s="5" t="n">
        <v>3600000</v>
      </c>
      <c r="AH14" s="5" t="n">
        <v>14800</v>
      </c>
      <c r="AI14" s="5" t="n">
        <v>1300</v>
      </c>
      <c r="AJ14" s="5" t="n">
        <v>40400</v>
      </c>
      <c r="AK14" s="5" t="n">
        <v>704800</v>
      </c>
      <c r="AL14" s="5" t="n">
        <f aca="false">AVERAGE(AG14:AK14)</f>
        <v>872260</v>
      </c>
      <c r="AM14" s="5" t="n">
        <f aca="false">D14-$O14-$P14-$Q14-$R14</f>
        <v>1.08664</v>
      </c>
      <c r="AN14" s="5" t="n">
        <f aca="false">E14-$O14-$P14-$Q14-$R14</f>
        <v>1.62664</v>
      </c>
      <c r="AO14" s="5" t="n">
        <f aca="false">F14-$O14-$P14-$Q14-$R14</f>
        <v>1.30664</v>
      </c>
      <c r="AP14" s="5" t="n">
        <f aca="false">G14-$O14-$P14-$Q14-$R14</f>
        <v>3.26664</v>
      </c>
      <c r="AQ14" s="5" t="n">
        <f aca="false">H14-$O14-$P14-$Q14-$R14</f>
        <v>1.40664</v>
      </c>
      <c r="AR14" s="5" t="n">
        <f aca="false">AVERAGE(AM14:AQ14)</f>
        <v>1.73864</v>
      </c>
      <c r="AS14" s="5" t="n">
        <v>4.252</v>
      </c>
      <c r="AT14" s="5" t="n">
        <v>14</v>
      </c>
      <c r="AU14" s="5" t="n">
        <v>300</v>
      </c>
      <c r="AV14" s="5" t="n">
        <f aca="false">25.5*4.6*2</f>
        <v>234.6</v>
      </c>
      <c r="AW14" s="5" t="n">
        <f aca="false">5*5</f>
        <v>25</v>
      </c>
      <c r="AX14" s="5"/>
      <c r="AY14" s="5" t="n">
        <v>4.7</v>
      </c>
      <c r="AZ14" s="5" t="n">
        <v>1</v>
      </c>
      <c r="BA14" s="5" t="n">
        <v>85</v>
      </c>
      <c r="BB14" s="5" t="n">
        <f aca="false">42000+16000+57800+5000+1500+26600+5600+28300+12800+3000+77000+774000+41200+35000+14200+48500+47300+38500+207300+370300+10200+247400+20200</f>
        <v>2129700</v>
      </c>
      <c r="BC14" s="5" t="n">
        <v>7600</v>
      </c>
      <c r="BD14" s="5" t="n">
        <v>95500000</v>
      </c>
      <c r="BE14" s="5" t="n">
        <v>0.08</v>
      </c>
      <c r="BF14" s="5" t="n">
        <v>0.02</v>
      </c>
      <c r="BG14" s="5" t="n">
        <v>0.02</v>
      </c>
      <c r="BH14" s="3" t="n">
        <v>0.035</v>
      </c>
      <c r="BI14" s="5" t="n">
        <v>0.08</v>
      </c>
      <c r="BJ14" s="5" t="n">
        <v>0.2</v>
      </c>
    </row>
    <row r="15" customFormat="false" ht="12.8" hidden="false" customHeight="false" outlineLevel="0" collapsed="false">
      <c r="A15" s="5" t="n">
        <v>14</v>
      </c>
      <c r="B15" s="5" t="s">
        <v>77</v>
      </c>
      <c r="C15" s="5" t="s">
        <v>74</v>
      </c>
      <c r="D15" s="5" t="n">
        <v>6.3</v>
      </c>
      <c r="E15" s="5" t="n">
        <v>6</v>
      </c>
      <c r="F15" s="5" t="n">
        <v>7.4</v>
      </c>
      <c r="G15" s="5" t="n">
        <v>11.79</v>
      </c>
      <c r="H15" s="5" t="n">
        <v>15.72</v>
      </c>
      <c r="I15" s="5" t="n">
        <f aca="false">AVERAGE(D15:H15)</f>
        <v>9.442</v>
      </c>
      <c r="J15" s="5"/>
      <c r="K15" s="5"/>
      <c r="L15" s="5"/>
      <c r="M15" s="5"/>
      <c r="N15" s="5"/>
      <c r="O15" s="5" t="n">
        <v>2</v>
      </c>
      <c r="P15" s="5" t="n">
        <v>0.6</v>
      </c>
      <c r="Q15" s="5" t="n">
        <f aca="false">0.1*I15</f>
        <v>0.9442</v>
      </c>
      <c r="R15" s="5" t="n">
        <f aca="false">0.08*I15</f>
        <v>0.75536</v>
      </c>
      <c r="S15" s="5" t="n">
        <v>0.18</v>
      </c>
      <c r="T15" s="5" t="n">
        <f aca="false">1000+3000+258+2000+3000+115++2000++414+1000+479+417+794+98+552+316+1000+900+168+610+6000+253+1000+1000+500+600+4000+552</f>
        <v>32026</v>
      </c>
      <c r="U15" s="5"/>
      <c r="V15" s="5"/>
      <c r="W15" s="5" t="n">
        <v>0.0161</v>
      </c>
      <c r="X15" s="5" t="n">
        <v>4.9</v>
      </c>
      <c r="Y15" s="5" t="n">
        <f aca="false">319+797+930+768+1300+842+75+65+771+322+227+59+383+192+61+43+1800+368+1000+92</f>
        <v>10414</v>
      </c>
      <c r="Z15" s="5" t="n">
        <f aca="false">5*12*2</f>
        <v>120</v>
      </c>
      <c r="AA15" s="5"/>
      <c r="AB15" s="5"/>
      <c r="AC15" s="5"/>
      <c r="AD15" s="5"/>
      <c r="AE15" s="5"/>
      <c r="AF15" s="5" t="n">
        <v>4.8</v>
      </c>
      <c r="AG15" s="5" t="n">
        <v>4400</v>
      </c>
      <c r="AH15" s="5" t="n">
        <v>27900</v>
      </c>
      <c r="AI15" s="5" t="n">
        <v>9600</v>
      </c>
      <c r="AJ15" s="5" t="n">
        <v>16400</v>
      </c>
      <c r="AK15" s="5" t="n">
        <v>18600</v>
      </c>
      <c r="AL15" s="5" t="n">
        <f aca="false">AVERAGE(AG15:AK15)</f>
        <v>15380</v>
      </c>
      <c r="AM15" s="5" t="n">
        <f aca="false">D15-$O15-$P15-$Q15-$R15</f>
        <v>2.00044</v>
      </c>
      <c r="AN15" s="5" t="n">
        <f aca="false">E15-$O15-$P15-$Q15-$R15</f>
        <v>1.70044</v>
      </c>
      <c r="AO15" s="5" t="n">
        <f aca="false">F15-$O15-$P15-$Q15-$R15</f>
        <v>3.10044</v>
      </c>
      <c r="AP15" s="5" t="n">
        <f aca="false">G15-$O15-$P15-$Q15-$R15</f>
        <v>7.49044</v>
      </c>
      <c r="AQ15" s="5" t="n">
        <f aca="false">H15-$O15-$P15-$Q15-$R15</f>
        <v>11.42044</v>
      </c>
      <c r="AR15" s="5" t="n">
        <f aca="false">AVERAGE(AM15:AQ15)</f>
        <v>5.14244</v>
      </c>
      <c r="AS15" s="5" t="n">
        <f aca="false">AVERAGE(AN15:AR15)</f>
        <v>5.77084</v>
      </c>
      <c r="AT15" s="5" t="n">
        <v>32</v>
      </c>
      <c r="AU15" s="5" t="n">
        <v>70</v>
      </c>
      <c r="AV15" s="5" t="n">
        <f aca="false">26*15*15</f>
        <v>5850</v>
      </c>
      <c r="AW15" s="5" t="n">
        <v>0</v>
      </c>
      <c r="AX15" s="5"/>
      <c r="AY15" s="5" t="n">
        <v>1</v>
      </c>
      <c r="AZ15" s="5" t="n">
        <v>5000</v>
      </c>
      <c r="BA15" s="5" t="n">
        <v>70</v>
      </c>
      <c r="BB15" s="5" t="n">
        <f aca="false">10000+64000+130400+19200+26700+1000+35400+22800+10000+10000+7000+48800+14200+100000+1333+55000+97900+1049+7500</f>
        <v>662282</v>
      </c>
      <c r="BC15" s="5" t="n">
        <f aca="false">37*6</f>
        <v>222</v>
      </c>
      <c r="BD15" s="5" t="n">
        <f aca="false">222*10000</f>
        <v>2220000</v>
      </c>
      <c r="BE15" s="5" t="n">
        <v>0.08</v>
      </c>
      <c r="BF15" s="5" t="n">
        <v>0.02</v>
      </c>
      <c r="BG15" s="5" t="n">
        <v>0.02</v>
      </c>
      <c r="BH15" s="3" t="n">
        <v>0.035</v>
      </c>
      <c r="BI15" s="5" t="n">
        <v>0.08</v>
      </c>
      <c r="BJ15" s="5" t="n">
        <v>0.2</v>
      </c>
    </row>
    <row r="16" customFormat="false" ht="12.8" hidden="false" customHeight="false" outlineLevel="0" collapsed="false">
      <c r="A16" s="5" t="n">
        <v>15</v>
      </c>
      <c r="B16" s="5" t="s">
        <v>78</v>
      </c>
      <c r="C16" s="5" t="s">
        <v>74</v>
      </c>
      <c r="D16" s="5" t="n">
        <v>5.67</v>
      </c>
      <c r="E16" s="5" t="n">
        <v>5.78</v>
      </c>
      <c r="F16" s="5" t="n">
        <v>5.89</v>
      </c>
      <c r="G16" s="5" t="n">
        <v>6.54</v>
      </c>
      <c r="H16" s="5" t="n">
        <v>6.76</v>
      </c>
      <c r="I16" s="5" t="n">
        <f aca="false">AVERAGE(D16:H16)</f>
        <v>6.128</v>
      </c>
      <c r="J16" s="5"/>
      <c r="K16" s="5"/>
      <c r="L16" s="5"/>
      <c r="M16" s="5"/>
      <c r="N16" s="5"/>
      <c r="O16" s="5" t="n">
        <v>0.9</v>
      </c>
      <c r="P16" s="5" t="n">
        <v>0.6</v>
      </c>
      <c r="Q16" s="5" t="n">
        <f aca="false">0.1*I16</f>
        <v>0.6128</v>
      </c>
      <c r="R16" s="5" t="n">
        <f aca="false">0.08*I16</f>
        <v>0.49024</v>
      </c>
      <c r="S16" s="5" t="n">
        <v>0.2</v>
      </c>
      <c r="T16" s="5" t="n">
        <f aca="false">7000+60000+1000+90000+30000+10000+80000+40000+4000+1000+1000+2000+1000+6000+1000+7000+500+400+4000+1000+10000+748+2000+530+288</f>
        <v>360466</v>
      </c>
      <c r="U16" s="5"/>
      <c r="V16" s="5"/>
      <c r="W16" s="5" t="n">
        <v>0.0779</v>
      </c>
      <c r="X16" s="5" t="n">
        <v>4.7</v>
      </c>
      <c r="Y16" s="5" t="n">
        <f aca="false">1200+6700+1100+6300+6400+2900+8200+5700+658+572+280+591+230</f>
        <v>40831</v>
      </c>
      <c r="Z16" s="5" t="n">
        <f aca="false">5*12*11</f>
        <v>660</v>
      </c>
      <c r="AA16" s="5"/>
      <c r="AB16" s="5"/>
      <c r="AC16" s="5"/>
      <c r="AD16" s="5"/>
      <c r="AE16" s="5"/>
      <c r="AF16" s="5" t="n">
        <v>4.7</v>
      </c>
      <c r="AG16" s="5" t="n">
        <v>3600000</v>
      </c>
      <c r="AH16" s="5" t="n">
        <v>17400</v>
      </c>
      <c r="AI16" s="5" t="n">
        <v>88300</v>
      </c>
      <c r="AJ16" s="5" t="n">
        <v>50700</v>
      </c>
      <c r="AK16" s="5" t="n">
        <v>6400</v>
      </c>
      <c r="AL16" s="5" t="n">
        <f aca="false">AVERAGE(AG16:AK16)</f>
        <v>752560</v>
      </c>
      <c r="AM16" s="5" t="n">
        <f aca="false">D16-$O16-$P16-$Q16-$R16</f>
        <v>3.06696</v>
      </c>
      <c r="AN16" s="5" t="n">
        <f aca="false">E16-$O16-$P16-$Q16-$R16</f>
        <v>3.17696</v>
      </c>
      <c r="AO16" s="5" t="n">
        <f aca="false">F16-$O16-$P16-$Q16-$R16</f>
        <v>3.28696</v>
      </c>
      <c r="AP16" s="5" t="n">
        <f aca="false">G16-$O16-$P16-$Q16-$R16</f>
        <v>3.93696</v>
      </c>
      <c r="AQ16" s="5" t="n">
        <f aca="false">H16-$O16-$P16-$Q16-$R16</f>
        <v>4.15696</v>
      </c>
      <c r="AR16" s="5" t="n">
        <f aca="false">AVERAGE(AM16:AQ16)</f>
        <v>3.52496</v>
      </c>
      <c r="AS16" s="5" t="n">
        <v>6.128</v>
      </c>
      <c r="AT16" s="5" t="n">
        <v>32</v>
      </c>
      <c r="AU16" s="5" t="n">
        <v>50</v>
      </c>
      <c r="AV16" s="5" t="n">
        <f aca="false">5*10*5</f>
        <v>250</v>
      </c>
      <c r="AW16" s="5" t="n">
        <v>0</v>
      </c>
      <c r="AX16" s="5"/>
      <c r="AY16" s="5" t="n">
        <v>1</v>
      </c>
      <c r="AZ16" s="5" t="n">
        <v>5000</v>
      </c>
      <c r="BA16" s="5" t="n">
        <v>70</v>
      </c>
      <c r="BB16" s="5" t="n">
        <f aca="false">761800+280000+255200+108900+100000</f>
        <v>1505900</v>
      </c>
      <c r="BC16" s="5" t="n">
        <v>127300</v>
      </c>
      <c r="BD16" s="5" t="n">
        <v>7000000000</v>
      </c>
      <c r="BE16" s="5" t="n">
        <v>0.08</v>
      </c>
      <c r="BF16" s="5" t="n">
        <v>0.02</v>
      </c>
      <c r="BG16" s="5" t="n">
        <v>0.02</v>
      </c>
      <c r="BH16" s="3" t="n">
        <v>0.035</v>
      </c>
      <c r="BI16" s="5" t="n">
        <v>0.08</v>
      </c>
      <c r="BJ16" s="5" t="n">
        <v>0.2</v>
      </c>
    </row>
    <row r="17" customFormat="false" ht="12.8" hidden="false" customHeight="false" outlineLevel="0" collapsed="false">
      <c r="A17" s="5" t="n">
        <v>16</v>
      </c>
      <c r="B17" s="5" t="s">
        <v>79</v>
      </c>
      <c r="C17" s="5" t="s">
        <v>74</v>
      </c>
      <c r="D17" s="5" t="n">
        <v>8.61</v>
      </c>
      <c r="E17" s="5" t="n">
        <v>6.43</v>
      </c>
      <c r="F17" s="5" t="n">
        <v>12.02</v>
      </c>
      <c r="G17" s="5" t="n">
        <v>11.34</v>
      </c>
      <c r="H17" s="5" t="n">
        <v>5.45</v>
      </c>
      <c r="I17" s="5" t="n">
        <f aca="false">AVERAGE(D17:H17)</f>
        <v>8.77</v>
      </c>
      <c r="J17" s="5"/>
      <c r="K17" s="5"/>
      <c r="L17" s="5"/>
      <c r="M17" s="5"/>
      <c r="N17" s="5"/>
      <c r="O17" s="5" t="n">
        <v>2</v>
      </c>
      <c r="P17" s="5" t="n">
        <v>0.6</v>
      </c>
      <c r="Q17" s="5" t="n">
        <f aca="false">0.1*I17</f>
        <v>0.877</v>
      </c>
      <c r="R17" s="5" t="n">
        <f aca="false">0.08*I17</f>
        <v>0.7016</v>
      </c>
      <c r="S17" s="5" t="n">
        <v>0.1</v>
      </c>
      <c r="T17" s="5" t="n">
        <f aca="false">3000+20000+505+636+4000+200000+80000+3000+1000+2000+2000+10000+10000+1000+1000+50000+40000+4000+2000+100000</f>
        <v>534141</v>
      </c>
      <c r="U17" s="5"/>
      <c r="V17" s="5"/>
      <c r="W17" s="5" t="n">
        <v>0.0779</v>
      </c>
      <c r="X17" s="5" t="n">
        <v>4.9</v>
      </c>
      <c r="Y17" s="5" t="n">
        <f aca="false">955+4000+505+225+215+14300+7800+2100+531+263+24+2200+1700+730+397+2800+7400+324+171+4900</f>
        <v>51540</v>
      </c>
      <c r="Z17" s="5" t="n">
        <f aca="false">5*12*4</f>
        <v>240</v>
      </c>
      <c r="AA17" s="5"/>
      <c r="AB17" s="5"/>
      <c r="AC17" s="5"/>
      <c r="AD17" s="5"/>
      <c r="AE17" s="5"/>
      <c r="AF17" s="5" t="n">
        <v>4.9</v>
      </c>
      <c r="AG17" s="5" t="n">
        <v>8600</v>
      </c>
      <c r="AH17" s="5" t="n">
        <v>3600000</v>
      </c>
      <c r="AI17" s="5" t="n">
        <v>132300</v>
      </c>
      <c r="AJ17" s="5" t="n">
        <v>82300</v>
      </c>
      <c r="AK17" s="5" t="n">
        <v>23400</v>
      </c>
      <c r="AL17" s="5" t="n">
        <f aca="false">AVERAGE(AG17:AK17)</f>
        <v>769320</v>
      </c>
      <c r="AM17" s="5"/>
      <c r="AN17" s="5"/>
      <c r="AO17" s="5"/>
      <c r="AP17" s="5"/>
      <c r="AQ17" s="5"/>
      <c r="AR17" s="5" t="n">
        <f aca="false">D17-O17-P17-Q17-R17</f>
        <v>4.4314</v>
      </c>
      <c r="AS17" s="5" t="n">
        <v>8.77</v>
      </c>
      <c r="AT17" s="5" t="n">
        <v>22</v>
      </c>
      <c r="AU17" s="5" t="n">
        <v>100</v>
      </c>
      <c r="AV17" s="5" t="n">
        <f aca="false">10*5*4</f>
        <v>200</v>
      </c>
      <c r="AW17" s="5" t="n">
        <v>1</v>
      </c>
      <c r="AX17" s="5"/>
      <c r="AY17" s="5" t="n">
        <v>1</v>
      </c>
      <c r="AZ17" s="5" t="n">
        <v>1000</v>
      </c>
      <c r="BA17" s="5" t="n">
        <v>70</v>
      </c>
      <c r="BB17" s="5" t="n">
        <f aca="false">2000+37900+3700+1000+2888+8183+10100+12500+441+31800+1002+1000+1500+1535+7872</f>
        <v>123421</v>
      </c>
      <c r="BC17" s="5" t="n">
        <v>78000</v>
      </c>
      <c r="BD17" s="5" t="n">
        <v>716400000</v>
      </c>
      <c r="BE17" s="5" t="n">
        <v>0.08</v>
      </c>
      <c r="BF17" s="5" t="n">
        <v>0.02</v>
      </c>
      <c r="BG17" s="5" t="n">
        <v>0.02</v>
      </c>
      <c r="BH17" s="3" t="n">
        <v>0.035</v>
      </c>
      <c r="BI17" s="5" t="n">
        <v>0.08</v>
      </c>
      <c r="BJ17" s="5" t="n">
        <v>0.2</v>
      </c>
    </row>
    <row r="18" customFormat="false" ht="12.8" hidden="false" customHeight="false" outlineLevel="0" collapsed="false">
      <c r="A18" s="5" t="n">
        <v>17</v>
      </c>
      <c r="B18" s="5" t="s">
        <v>80</v>
      </c>
      <c r="C18" s="5" t="s">
        <v>74</v>
      </c>
      <c r="D18" s="5" t="n">
        <v>11.99</v>
      </c>
      <c r="E18" s="5" t="n">
        <v>15.25</v>
      </c>
      <c r="F18" s="5" t="n">
        <v>10.03</v>
      </c>
      <c r="G18" s="5" t="n">
        <v>7.06</v>
      </c>
      <c r="H18" s="5" t="n">
        <v>4.91</v>
      </c>
      <c r="I18" s="5" t="n">
        <f aca="false">AVERAGE(D18:H18)</f>
        <v>9.848</v>
      </c>
      <c r="J18" s="5" t="n">
        <v>5.43</v>
      </c>
      <c r="K18" s="5" t="n">
        <v>3.5</v>
      </c>
      <c r="L18" s="5" t="n">
        <v>1.6</v>
      </c>
      <c r="M18" s="5" t="n">
        <v>3.5</v>
      </c>
      <c r="N18" s="5" t="n">
        <v>0.88</v>
      </c>
      <c r="O18" s="5" t="n">
        <f aca="false">AVERAGE(J18:N18)</f>
        <v>2.982</v>
      </c>
      <c r="P18" s="5" t="n">
        <v>0.9</v>
      </c>
      <c r="Q18" s="5" t="n">
        <f aca="false">0.1*I18</f>
        <v>0.9848</v>
      </c>
      <c r="R18" s="5" t="n">
        <f aca="false">0.08*I18</f>
        <v>0.78784</v>
      </c>
      <c r="S18" s="5" t="n">
        <v>0.15</v>
      </c>
      <c r="T18" s="5" t="n">
        <f aca="false">7000+2000+50000+20000+2000+2000+1000+1000+30000+10000+10000+2000+600000+10000+50000+50000+1000+10000+1500+10000+2000+2000+70000+7000+7000+1000</f>
        <v>958500</v>
      </c>
      <c r="U18" s="5"/>
      <c r="V18" s="5"/>
      <c r="W18" s="5" t="n">
        <v>0.0779</v>
      </c>
      <c r="X18" s="5" t="n">
        <v>4.9</v>
      </c>
      <c r="Y18" s="5" t="n">
        <f aca="false">912+3000+10000+2500+575+591+1900+7700+424+2900+638+1600+3200+5100+1700+1600+606+215+548+263+490+28800+606+548+751+105+798</f>
        <v>78070</v>
      </c>
      <c r="Z18" s="5" t="n">
        <f aca="false">5*12*10</f>
        <v>600</v>
      </c>
      <c r="AA18" s="5"/>
      <c r="AB18" s="5"/>
      <c r="AC18" s="5"/>
      <c r="AD18" s="5"/>
      <c r="AE18" s="5"/>
      <c r="AF18" s="5" t="n">
        <v>4.9</v>
      </c>
      <c r="AG18" s="5" t="n">
        <v>3600000</v>
      </c>
      <c r="AH18" s="5" t="n">
        <v>3800</v>
      </c>
      <c r="AI18" s="5" t="n">
        <v>75000</v>
      </c>
      <c r="AJ18" s="5" t="n">
        <v>353100</v>
      </c>
      <c r="AK18" s="5" t="n">
        <v>4400</v>
      </c>
      <c r="AL18" s="5" t="n">
        <f aca="false">AVERAGE(AG18:AK18)</f>
        <v>807260</v>
      </c>
      <c r="AM18" s="5"/>
      <c r="AN18" s="5"/>
      <c r="AO18" s="5"/>
      <c r="AP18" s="5"/>
      <c r="AQ18" s="5"/>
      <c r="AR18" s="5" t="n">
        <f aca="false">I18-O18-P18-Q18-R18</f>
        <v>4.19336</v>
      </c>
      <c r="AS18" s="5" t="n">
        <v>9.848</v>
      </c>
      <c r="AT18" s="5" t="n">
        <v>17</v>
      </c>
      <c r="AU18" s="5" t="n">
        <v>105</v>
      </c>
      <c r="AV18" s="5" t="n">
        <f aca="false">10.8*27.5*4</f>
        <v>1188</v>
      </c>
      <c r="AW18" s="5" t="n">
        <f aca="false">6*5</f>
        <v>30</v>
      </c>
      <c r="AX18" s="5"/>
      <c r="AY18" s="5" t="n">
        <v>4.9</v>
      </c>
      <c r="AZ18" s="5" t="n">
        <v>99</v>
      </c>
      <c r="BA18" s="5" t="n">
        <v>85</v>
      </c>
      <c r="BB18" s="5" t="n">
        <f aca="false">39000+13800+42500+82500+163300+91400+4000+25100+9500+20300+67400+18900+678400+14700+11400+12000+26900+2500+10000+83500+5000+6000+4500+114800</f>
        <v>1547400</v>
      </c>
      <c r="BC18" s="5" t="n">
        <v>4400</v>
      </c>
      <c r="BD18" s="5" t="n">
        <v>14890000</v>
      </c>
      <c r="BE18" s="5" t="n">
        <v>0.08</v>
      </c>
      <c r="BF18" s="5" t="n">
        <v>0.02</v>
      </c>
      <c r="BG18" s="5" t="n">
        <v>0.02</v>
      </c>
      <c r="BH18" s="3" t="n">
        <v>0.035</v>
      </c>
      <c r="BI18" s="5" t="n">
        <v>0.08</v>
      </c>
      <c r="BJ18" s="5" t="n">
        <v>0.2</v>
      </c>
    </row>
    <row r="19" customFormat="false" ht="12.8" hidden="false" customHeight="false" outlineLevel="0" collapsed="false">
      <c r="A19" s="2" t="n">
        <v>18</v>
      </c>
      <c r="B19" s="2" t="s">
        <v>81</v>
      </c>
      <c r="C19" s="2" t="s">
        <v>74</v>
      </c>
      <c r="D19" s="2"/>
      <c r="E19" s="2"/>
      <c r="F19" s="2"/>
      <c r="G19" s="2"/>
      <c r="H19" s="2"/>
      <c r="I19" s="3"/>
      <c r="J19" s="2"/>
      <c r="K19" s="2"/>
      <c r="L19" s="2"/>
      <c r="M19" s="2"/>
      <c r="N19" s="2"/>
      <c r="O19" s="3"/>
      <c r="P19" s="3"/>
      <c r="Q19" s="3"/>
      <c r="R19" s="3"/>
      <c r="S19" s="3"/>
      <c r="T19" s="3"/>
      <c r="U19" s="5"/>
      <c r="V19" s="5"/>
      <c r="W19" s="3" t="n">
        <v>0.0779</v>
      </c>
      <c r="X19" s="3"/>
      <c r="Y19" s="3"/>
      <c r="Z19" s="3"/>
      <c r="AA19" s="2"/>
      <c r="AB19" s="2"/>
      <c r="AC19" s="2"/>
      <c r="AD19" s="2"/>
      <c r="AE19" s="2"/>
      <c r="AF19" s="3"/>
      <c r="AG19" s="5"/>
      <c r="AH19" s="5"/>
      <c r="AI19" s="5"/>
      <c r="AJ19" s="5"/>
      <c r="AK19" s="5"/>
      <c r="AL19" s="5"/>
      <c r="AM19" s="2"/>
      <c r="AN19" s="2"/>
      <c r="AO19" s="2"/>
      <c r="AP19" s="2"/>
      <c r="AQ19" s="2"/>
      <c r="AR19" s="3"/>
      <c r="AS19" s="3"/>
      <c r="AT19" s="3"/>
      <c r="AU19" s="3"/>
      <c r="AV19" s="3"/>
      <c r="AW19" s="5"/>
      <c r="AX19" s="5"/>
      <c r="AY19" s="3"/>
      <c r="AZ19" s="3"/>
      <c r="BA19" s="3"/>
      <c r="BB19" s="3"/>
      <c r="BC19" s="3"/>
      <c r="BD19" s="3"/>
      <c r="BE19" s="3" t="n">
        <v>0.08</v>
      </c>
      <c r="BF19" s="3" t="n">
        <v>0.02</v>
      </c>
      <c r="BG19" s="3" t="n">
        <v>0.02</v>
      </c>
      <c r="BH19" s="3" t="n">
        <v>0.035</v>
      </c>
      <c r="BI19" s="3" t="n">
        <v>0.08</v>
      </c>
      <c r="BJ19" s="3" t="n">
        <v>0.2</v>
      </c>
    </row>
    <row r="20" customFormat="false" ht="12.8" hidden="false" customHeight="false" outlineLevel="0" collapsed="false">
      <c r="A20" s="2" t="n">
        <v>19</v>
      </c>
      <c r="B20" s="2" t="s">
        <v>82</v>
      </c>
      <c r="C20" s="2" t="s">
        <v>83</v>
      </c>
      <c r="D20" s="2"/>
      <c r="E20" s="2"/>
      <c r="F20" s="2"/>
      <c r="G20" s="2"/>
      <c r="H20" s="2"/>
      <c r="I20" s="3"/>
      <c r="J20" s="2"/>
      <c r="K20" s="2"/>
      <c r="L20" s="2"/>
      <c r="M20" s="2"/>
      <c r="N20" s="2"/>
      <c r="O20" s="3"/>
      <c r="P20" s="3"/>
      <c r="Q20" s="3"/>
      <c r="R20" s="3"/>
      <c r="S20" s="3"/>
      <c r="T20" s="3"/>
      <c r="U20" s="5"/>
      <c r="V20" s="5"/>
      <c r="W20" s="3" t="n">
        <v>0.0161</v>
      </c>
      <c r="X20" s="3"/>
      <c r="Y20" s="3"/>
      <c r="Z20" s="3"/>
      <c r="AA20" s="2"/>
      <c r="AB20" s="2"/>
      <c r="AC20" s="2"/>
      <c r="AD20" s="2"/>
      <c r="AE20" s="2"/>
      <c r="AF20" s="3"/>
      <c r="AG20" s="5"/>
      <c r="AH20" s="5"/>
      <c r="AI20" s="5"/>
      <c r="AJ20" s="5"/>
      <c r="AK20" s="5"/>
      <c r="AL20" s="5"/>
      <c r="AM20" s="2"/>
      <c r="AN20" s="2"/>
      <c r="AO20" s="2"/>
      <c r="AP20" s="2"/>
      <c r="AQ20" s="2"/>
      <c r="AR20" s="3"/>
      <c r="AS20" s="3"/>
      <c r="AT20" s="3"/>
      <c r="AU20" s="3"/>
      <c r="AV20" s="3"/>
      <c r="AW20" s="5"/>
      <c r="AX20" s="5"/>
      <c r="AY20" s="3"/>
      <c r="AZ20" s="3"/>
      <c r="BA20" s="3"/>
      <c r="BB20" s="3"/>
      <c r="BC20" s="3"/>
      <c r="BD20" s="3"/>
      <c r="BE20" s="3" t="n">
        <v>0.08</v>
      </c>
      <c r="BF20" s="3" t="n">
        <v>0.02</v>
      </c>
      <c r="BG20" s="3" t="n">
        <v>0.02</v>
      </c>
      <c r="BH20" s="3" t="n">
        <v>0.035</v>
      </c>
      <c r="BI20" s="3" t="n">
        <v>0.08</v>
      </c>
      <c r="BJ20" s="3" t="n">
        <v>0.2</v>
      </c>
    </row>
    <row r="21" customFormat="false" ht="12.8" hidden="false" customHeight="false" outlineLevel="0" collapsed="false">
      <c r="A21" s="2" t="n">
        <v>20</v>
      </c>
      <c r="B21" s="2" t="s">
        <v>84</v>
      </c>
      <c r="C21" s="2" t="s">
        <v>83</v>
      </c>
      <c r="D21" s="2"/>
      <c r="E21" s="2"/>
      <c r="F21" s="2"/>
      <c r="G21" s="2"/>
      <c r="H21" s="2"/>
      <c r="I21" s="3"/>
      <c r="J21" s="2"/>
      <c r="K21" s="2"/>
      <c r="L21" s="2"/>
      <c r="M21" s="2"/>
      <c r="N21" s="2"/>
      <c r="O21" s="3"/>
      <c r="P21" s="3"/>
      <c r="Q21" s="3"/>
      <c r="R21" s="3"/>
      <c r="S21" s="3"/>
      <c r="T21" s="3"/>
      <c r="U21" s="5"/>
      <c r="V21" s="5"/>
      <c r="W21" s="3" t="n">
        <v>0.0136</v>
      </c>
      <c r="X21" s="3"/>
      <c r="Y21" s="3"/>
      <c r="Z21" s="3"/>
      <c r="AA21" s="2"/>
      <c r="AB21" s="2"/>
      <c r="AC21" s="2"/>
      <c r="AD21" s="2"/>
      <c r="AE21" s="2"/>
      <c r="AF21" s="3"/>
      <c r="AG21" s="5"/>
      <c r="AH21" s="5"/>
      <c r="AI21" s="5"/>
      <c r="AJ21" s="5"/>
      <c r="AK21" s="5"/>
      <c r="AL21" s="5"/>
      <c r="AM21" s="2"/>
      <c r="AN21" s="2"/>
      <c r="AO21" s="2"/>
      <c r="AP21" s="2"/>
      <c r="AQ21" s="2"/>
      <c r="AR21" s="3"/>
      <c r="AS21" s="3"/>
      <c r="AT21" s="3"/>
      <c r="AU21" s="3"/>
      <c r="AV21" s="3"/>
      <c r="AW21" s="5"/>
      <c r="AX21" s="5"/>
      <c r="AY21" s="3"/>
      <c r="AZ21" s="3"/>
      <c r="BA21" s="3"/>
      <c r="BB21" s="3"/>
      <c r="BC21" s="3"/>
      <c r="BD21" s="3"/>
      <c r="BE21" s="3" t="n">
        <v>0.08</v>
      </c>
      <c r="BF21" s="3" t="n">
        <v>0.02</v>
      </c>
      <c r="BG21" s="3" t="n">
        <v>0.02</v>
      </c>
      <c r="BH21" s="3" t="n">
        <v>0.035</v>
      </c>
      <c r="BI21" s="3" t="n">
        <v>0.08</v>
      </c>
      <c r="BJ21" s="3" t="n">
        <v>0.2</v>
      </c>
    </row>
    <row r="22" customFormat="false" ht="12.8" hidden="false" customHeight="false" outlineLevel="0" collapsed="false">
      <c r="A22" s="2" t="n">
        <v>21</v>
      </c>
      <c r="B22" s="2" t="s">
        <v>85</v>
      </c>
      <c r="C22" s="2" t="s">
        <v>83</v>
      </c>
      <c r="D22" s="2"/>
      <c r="E22" s="2"/>
      <c r="F22" s="2"/>
      <c r="G22" s="2"/>
      <c r="H22" s="2"/>
      <c r="I22" s="3"/>
      <c r="J22" s="2"/>
      <c r="K22" s="2"/>
      <c r="L22" s="2"/>
      <c r="M22" s="2"/>
      <c r="N22" s="2"/>
      <c r="O22" s="3"/>
      <c r="P22" s="3"/>
      <c r="Q22" s="3"/>
      <c r="R22" s="3"/>
      <c r="S22" s="3"/>
      <c r="T22" s="3"/>
      <c r="U22" s="5"/>
      <c r="V22" s="5"/>
      <c r="W22" s="3" t="n">
        <v>0.0161</v>
      </c>
      <c r="X22" s="3"/>
      <c r="Y22" s="3"/>
      <c r="Z22" s="3"/>
      <c r="AA22" s="2"/>
      <c r="AB22" s="2"/>
      <c r="AC22" s="2"/>
      <c r="AD22" s="2"/>
      <c r="AE22" s="2"/>
      <c r="AF22" s="3"/>
      <c r="AG22" s="5"/>
      <c r="AH22" s="5"/>
      <c r="AI22" s="5"/>
      <c r="AJ22" s="5"/>
      <c r="AK22" s="5"/>
      <c r="AL22" s="5"/>
      <c r="AM22" s="2"/>
      <c r="AN22" s="2"/>
      <c r="AO22" s="2"/>
      <c r="AP22" s="2"/>
      <c r="AQ22" s="2"/>
      <c r="AR22" s="3"/>
      <c r="AS22" s="3"/>
      <c r="AT22" s="3"/>
      <c r="AU22" s="3"/>
      <c r="AV22" s="3"/>
      <c r="AW22" s="5"/>
      <c r="AX22" s="5"/>
      <c r="AY22" s="3"/>
      <c r="AZ22" s="3"/>
      <c r="BA22" s="3"/>
      <c r="BB22" s="3"/>
      <c r="BC22" s="3"/>
      <c r="BD22" s="3"/>
      <c r="BE22" s="3" t="n">
        <v>0.08</v>
      </c>
      <c r="BF22" s="3" t="n">
        <v>0.02</v>
      </c>
      <c r="BG22" s="3" t="n">
        <v>0.02</v>
      </c>
      <c r="BH22" s="3" t="n">
        <v>0.035</v>
      </c>
      <c r="BI22" s="3" t="n">
        <v>0.08</v>
      </c>
      <c r="BJ22" s="3" t="n">
        <v>0.2</v>
      </c>
    </row>
    <row r="23" customFormat="false" ht="12.8" hidden="false" customHeight="false" outlineLevel="0" collapsed="false">
      <c r="A23" s="2" t="n">
        <v>22</v>
      </c>
      <c r="B23" s="2" t="s">
        <v>86</v>
      </c>
      <c r="C23" s="2" t="s">
        <v>83</v>
      </c>
      <c r="D23" s="2"/>
      <c r="E23" s="2"/>
      <c r="F23" s="2"/>
      <c r="G23" s="2"/>
      <c r="H23" s="2"/>
      <c r="I23" s="3"/>
      <c r="J23" s="2"/>
      <c r="K23" s="2"/>
      <c r="L23" s="2"/>
      <c r="M23" s="2"/>
      <c r="N23" s="2"/>
      <c r="O23" s="3"/>
      <c r="P23" s="3"/>
      <c r="Q23" s="3"/>
      <c r="R23" s="3"/>
      <c r="S23" s="3"/>
      <c r="T23" s="3"/>
      <c r="U23" s="5"/>
      <c r="V23" s="5"/>
      <c r="W23" s="3" t="n">
        <v>0.0111</v>
      </c>
      <c r="X23" s="3"/>
      <c r="Y23" s="3"/>
      <c r="Z23" s="3"/>
      <c r="AA23" s="2"/>
      <c r="AB23" s="2"/>
      <c r="AC23" s="2"/>
      <c r="AD23" s="2"/>
      <c r="AE23" s="2"/>
      <c r="AF23" s="3"/>
      <c r="AG23" s="5"/>
      <c r="AH23" s="5"/>
      <c r="AI23" s="5"/>
      <c r="AJ23" s="5"/>
      <c r="AK23" s="5"/>
      <c r="AL23" s="5"/>
      <c r="AM23" s="2"/>
      <c r="AN23" s="2"/>
      <c r="AO23" s="2"/>
      <c r="AP23" s="2"/>
      <c r="AQ23" s="2"/>
      <c r="AR23" s="3"/>
      <c r="AS23" s="3"/>
      <c r="AT23" s="3"/>
      <c r="AU23" s="3"/>
      <c r="AV23" s="3"/>
      <c r="AW23" s="5"/>
      <c r="AX23" s="5"/>
      <c r="AY23" s="3"/>
      <c r="AZ23" s="3"/>
      <c r="BA23" s="3"/>
      <c r="BB23" s="3"/>
      <c r="BC23" s="3"/>
      <c r="BD23" s="3"/>
      <c r="BE23" s="3" t="n">
        <v>0.08</v>
      </c>
      <c r="BF23" s="3" t="n">
        <v>0.02</v>
      </c>
      <c r="BG23" s="3" t="n">
        <v>0.02</v>
      </c>
      <c r="BH23" s="3" t="n">
        <v>0.035</v>
      </c>
      <c r="BI23" s="3" t="n">
        <v>0.08</v>
      </c>
      <c r="BJ23" s="3" t="n">
        <v>0.2</v>
      </c>
    </row>
    <row r="24" customFormat="false" ht="12.8" hidden="false" customHeight="false" outlineLevel="0" collapsed="false">
      <c r="A24" s="2" t="n">
        <v>23</v>
      </c>
      <c r="B24" s="2" t="s">
        <v>87</v>
      </c>
      <c r="C24" s="2" t="s">
        <v>83</v>
      </c>
      <c r="D24" s="2"/>
      <c r="E24" s="2"/>
      <c r="F24" s="2"/>
      <c r="G24" s="2"/>
      <c r="H24" s="2"/>
      <c r="I24" s="3"/>
      <c r="J24" s="2"/>
      <c r="K24" s="2"/>
      <c r="L24" s="2"/>
      <c r="M24" s="2"/>
      <c r="N24" s="2"/>
      <c r="O24" s="3"/>
      <c r="P24" s="3"/>
      <c r="Q24" s="3"/>
      <c r="R24" s="3"/>
      <c r="S24" s="3"/>
      <c r="T24" s="3"/>
      <c r="U24" s="5"/>
      <c r="V24" s="5"/>
      <c r="W24" s="3" t="n">
        <v>0.0161</v>
      </c>
      <c r="X24" s="3"/>
      <c r="Y24" s="3"/>
      <c r="Z24" s="3"/>
      <c r="AA24" s="2"/>
      <c r="AB24" s="2"/>
      <c r="AC24" s="2"/>
      <c r="AD24" s="2"/>
      <c r="AE24" s="2"/>
      <c r="AF24" s="3"/>
      <c r="AG24" s="5"/>
      <c r="AH24" s="5"/>
      <c r="AI24" s="5"/>
      <c r="AJ24" s="5"/>
      <c r="AK24" s="5"/>
      <c r="AL24" s="5"/>
      <c r="AM24" s="2"/>
      <c r="AN24" s="2"/>
      <c r="AO24" s="2"/>
      <c r="AP24" s="2"/>
      <c r="AQ24" s="2"/>
      <c r="AR24" s="3"/>
      <c r="AS24" s="3"/>
      <c r="AT24" s="3"/>
      <c r="AU24" s="3"/>
      <c r="AV24" s="3"/>
      <c r="AW24" s="5"/>
      <c r="AX24" s="5"/>
      <c r="AY24" s="3"/>
      <c r="AZ24" s="3"/>
      <c r="BA24" s="3"/>
      <c r="BB24" s="3"/>
      <c r="BC24" s="3"/>
      <c r="BD24" s="3"/>
      <c r="BE24" s="3" t="n">
        <v>0.08</v>
      </c>
      <c r="BF24" s="3" t="n">
        <v>0.02</v>
      </c>
      <c r="BG24" s="3" t="n">
        <v>0.02</v>
      </c>
      <c r="BH24" s="3" t="n">
        <v>0.035</v>
      </c>
      <c r="BI24" s="3" t="n">
        <v>0.08</v>
      </c>
      <c r="BJ24" s="3" t="n">
        <v>0.2</v>
      </c>
    </row>
    <row r="25" customFormat="false" ht="12.8" hidden="false" customHeight="false" outlineLevel="0" collapsed="false">
      <c r="A25" s="2" t="n">
        <v>24</v>
      </c>
      <c r="B25" s="2" t="s">
        <v>88</v>
      </c>
      <c r="C25" s="2" t="s">
        <v>83</v>
      </c>
      <c r="D25" s="2"/>
      <c r="E25" s="2"/>
      <c r="F25" s="2"/>
      <c r="G25" s="2"/>
      <c r="H25" s="2"/>
      <c r="I25" s="3"/>
      <c r="J25" s="2"/>
      <c r="K25" s="2"/>
      <c r="L25" s="2"/>
      <c r="M25" s="2"/>
      <c r="N25" s="2"/>
      <c r="O25" s="3"/>
      <c r="P25" s="3"/>
      <c r="Q25" s="3"/>
      <c r="R25" s="3"/>
      <c r="S25" s="3"/>
      <c r="T25" s="3"/>
      <c r="U25" s="5"/>
      <c r="V25" s="5"/>
      <c r="W25" s="3" t="n">
        <v>0.0161</v>
      </c>
      <c r="X25" s="3"/>
      <c r="Y25" s="3"/>
      <c r="Z25" s="3"/>
      <c r="AA25" s="2"/>
      <c r="AB25" s="2"/>
      <c r="AC25" s="2"/>
      <c r="AD25" s="2"/>
      <c r="AE25" s="2"/>
      <c r="AF25" s="3"/>
      <c r="AG25" s="5"/>
      <c r="AH25" s="5"/>
      <c r="AI25" s="5"/>
      <c r="AJ25" s="5"/>
      <c r="AK25" s="5"/>
      <c r="AL25" s="5"/>
      <c r="AM25" s="2"/>
      <c r="AN25" s="2"/>
      <c r="AO25" s="2"/>
      <c r="AP25" s="2"/>
      <c r="AQ25" s="2"/>
      <c r="AR25" s="3"/>
      <c r="AS25" s="3"/>
      <c r="AT25" s="3"/>
      <c r="AU25" s="3"/>
      <c r="AV25" s="3"/>
      <c r="AW25" s="5"/>
      <c r="AX25" s="5"/>
      <c r="AY25" s="3"/>
      <c r="AZ25" s="3"/>
      <c r="BA25" s="3"/>
      <c r="BB25" s="3"/>
      <c r="BC25" s="3"/>
      <c r="BD25" s="3"/>
      <c r="BE25" s="3" t="n">
        <v>0.08</v>
      </c>
      <c r="BF25" s="3" t="n">
        <v>0.02</v>
      </c>
      <c r="BG25" s="3" t="n">
        <v>0.02</v>
      </c>
      <c r="BH25" s="3" t="n">
        <v>0.035</v>
      </c>
      <c r="BI25" s="3" t="n">
        <v>0.08</v>
      </c>
      <c r="BJ25" s="3" t="n">
        <v>0.2</v>
      </c>
    </row>
    <row r="26" customFormat="false" ht="12.8" hidden="false" customHeight="false" outlineLevel="0" collapsed="false">
      <c r="A26" s="2" t="n">
        <v>25</v>
      </c>
      <c r="B26" s="2" t="s">
        <v>89</v>
      </c>
      <c r="C26" s="2" t="s">
        <v>83</v>
      </c>
      <c r="D26" s="2"/>
      <c r="E26" s="2"/>
      <c r="F26" s="2"/>
      <c r="G26" s="2"/>
      <c r="H26" s="2"/>
      <c r="I26" s="3"/>
      <c r="J26" s="2"/>
      <c r="K26" s="2"/>
      <c r="L26" s="2"/>
      <c r="M26" s="2"/>
      <c r="N26" s="2"/>
      <c r="O26" s="3"/>
      <c r="P26" s="3"/>
      <c r="Q26" s="3"/>
      <c r="R26" s="3"/>
      <c r="S26" s="3"/>
      <c r="T26" s="3"/>
      <c r="U26" s="5"/>
      <c r="V26" s="5"/>
      <c r="W26" s="3" t="n">
        <v>0.0161</v>
      </c>
      <c r="X26" s="3"/>
      <c r="Y26" s="3"/>
      <c r="Z26" s="3"/>
      <c r="AA26" s="2"/>
      <c r="AB26" s="2"/>
      <c r="AC26" s="2"/>
      <c r="AD26" s="2"/>
      <c r="AE26" s="2"/>
      <c r="AF26" s="3"/>
      <c r="AG26" s="5"/>
      <c r="AH26" s="5"/>
      <c r="AI26" s="5"/>
      <c r="AJ26" s="5"/>
      <c r="AK26" s="5"/>
      <c r="AL26" s="5"/>
      <c r="AM26" s="2"/>
      <c r="AN26" s="2"/>
      <c r="AO26" s="2"/>
      <c r="AP26" s="2"/>
      <c r="AQ26" s="2"/>
      <c r="AR26" s="3"/>
      <c r="AS26" s="3"/>
      <c r="AT26" s="3"/>
      <c r="AU26" s="3"/>
      <c r="AV26" s="3"/>
      <c r="AW26" s="5"/>
      <c r="AX26" s="5"/>
      <c r="AY26" s="3"/>
      <c r="AZ26" s="3"/>
      <c r="BA26" s="3"/>
      <c r="BB26" s="3"/>
      <c r="BC26" s="3"/>
      <c r="BD26" s="3"/>
      <c r="BE26" s="3" t="n">
        <v>0.08</v>
      </c>
      <c r="BF26" s="3" t="n">
        <v>0.02</v>
      </c>
      <c r="BG26" s="3" t="n">
        <v>0.02</v>
      </c>
      <c r="BH26" s="3" t="n">
        <v>0.035</v>
      </c>
      <c r="BI26" s="3" t="n">
        <v>0.08</v>
      </c>
      <c r="BJ26" s="3" t="n">
        <v>0.2</v>
      </c>
    </row>
    <row r="27" customFormat="false" ht="12.8" hidden="false" customHeight="false" outlineLevel="0" collapsed="false">
      <c r="A27" s="2" t="n">
        <v>26</v>
      </c>
      <c r="B27" s="2" t="s">
        <v>90</v>
      </c>
      <c r="C27" s="2" t="s">
        <v>83</v>
      </c>
      <c r="D27" s="2"/>
      <c r="E27" s="2"/>
      <c r="F27" s="2"/>
      <c r="G27" s="2"/>
      <c r="H27" s="2"/>
      <c r="I27" s="3"/>
      <c r="J27" s="2"/>
      <c r="K27" s="2"/>
      <c r="L27" s="2"/>
      <c r="M27" s="2"/>
      <c r="N27" s="2"/>
      <c r="O27" s="3"/>
      <c r="P27" s="3"/>
      <c r="Q27" s="3"/>
      <c r="R27" s="3"/>
      <c r="S27" s="3"/>
      <c r="T27" s="3"/>
      <c r="U27" s="5"/>
      <c r="V27" s="5"/>
      <c r="W27" s="3" t="n">
        <v>0.0111</v>
      </c>
      <c r="X27" s="3"/>
      <c r="Y27" s="3"/>
      <c r="Z27" s="3"/>
      <c r="AA27" s="2"/>
      <c r="AB27" s="2"/>
      <c r="AC27" s="2"/>
      <c r="AD27" s="2"/>
      <c r="AE27" s="2"/>
      <c r="AF27" s="3"/>
      <c r="AG27" s="5"/>
      <c r="AH27" s="5"/>
      <c r="AI27" s="5"/>
      <c r="AJ27" s="5"/>
      <c r="AK27" s="5"/>
      <c r="AL27" s="5"/>
      <c r="AM27" s="2"/>
      <c r="AN27" s="2"/>
      <c r="AO27" s="2"/>
      <c r="AP27" s="2"/>
      <c r="AQ27" s="2"/>
      <c r="AR27" s="3"/>
      <c r="AS27" s="3"/>
      <c r="AT27" s="3"/>
      <c r="AU27" s="3"/>
      <c r="AV27" s="3"/>
      <c r="AW27" s="5"/>
      <c r="AX27" s="5"/>
      <c r="AY27" s="3"/>
      <c r="AZ27" s="3"/>
      <c r="BA27" s="3"/>
      <c r="BB27" s="3"/>
      <c r="BC27" s="3"/>
      <c r="BD27" s="3"/>
      <c r="BE27" s="3" t="n">
        <v>0.08</v>
      </c>
      <c r="BF27" s="3" t="n">
        <v>0.02</v>
      </c>
      <c r="BG27" s="3" t="n">
        <v>0.02</v>
      </c>
      <c r="BH27" s="3" t="n">
        <v>0.035</v>
      </c>
      <c r="BI27" s="3" t="n">
        <v>0.08</v>
      </c>
      <c r="BJ27" s="3" t="n">
        <v>0.2</v>
      </c>
    </row>
    <row r="28" customFormat="false" ht="12.8" hidden="false" customHeight="false" outlineLevel="0" collapsed="false">
      <c r="A28" s="2" t="n">
        <v>27</v>
      </c>
      <c r="B28" s="2" t="s">
        <v>91</v>
      </c>
      <c r="C28" s="2" t="s">
        <v>83</v>
      </c>
      <c r="D28" s="2"/>
      <c r="E28" s="2"/>
      <c r="F28" s="2"/>
      <c r="G28" s="2"/>
      <c r="H28" s="2"/>
      <c r="I28" s="3"/>
      <c r="J28" s="2"/>
      <c r="K28" s="2"/>
      <c r="L28" s="2"/>
      <c r="M28" s="2"/>
      <c r="N28" s="2"/>
      <c r="O28" s="3"/>
      <c r="P28" s="3"/>
      <c r="Q28" s="3"/>
      <c r="R28" s="3"/>
      <c r="S28" s="3"/>
      <c r="T28" s="3"/>
      <c r="U28" s="5"/>
      <c r="V28" s="5"/>
      <c r="W28" s="3" t="n">
        <v>0.0161</v>
      </c>
      <c r="X28" s="3"/>
      <c r="Y28" s="3"/>
      <c r="Z28" s="3"/>
      <c r="AA28" s="2"/>
      <c r="AB28" s="2"/>
      <c r="AC28" s="2"/>
      <c r="AD28" s="2"/>
      <c r="AE28" s="2"/>
      <c r="AF28" s="3"/>
      <c r="AG28" s="5"/>
      <c r="AH28" s="5"/>
      <c r="AI28" s="5"/>
      <c r="AJ28" s="5"/>
      <c r="AK28" s="5"/>
      <c r="AL28" s="5"/>
      <c r="AM28" s="2"/>
      <c r="AN28" s="2"/>
      <c r="AO28" s="2"/>
      <c r="AP28" s="2"/>
      <c r="AQ28" s="2"/>
      <c r="AR28" s="3"/>
      <c r="AS28" s="3"/>
      <c r="AT28" s="3"/>
      <c r="AU28" s="3"/>
      <c r="AV28" s="3"/>
      <c r="AW28" s="5"/>
      <c r="AX28" s="5"/>
      <c r="AY28" s="3"/>
      <c r="AZ28" s="3"/>
      <c r="BA28" s="3"/>
      <c r="BB28" s="3"/>
      <c r="BC28" s="3"/>
      <c r="BD28" s="3"/>
      <c r="BE28" s="3" t="n">
        <v>0.08</v>
      </c>
      <c r="BF28" s="3" t="n">
        <v>0.02</v>
      </c>
      <c r="BG28" s="3" t="n">
        <v>0.02</v>
      </c>
      <c r="BH28" s="3" t="n">
        <v>0.035</v>
      </c>
      <c r="BI28" s="3" t="n">
        <v>0.08</v>
      </c>
      <c r="BJ28" s="3" t="n">
        <v>0.2</v>
      </c>
    </row>
    <row r="29" customFormat="false" ht="12.8" hidden="false" customHeight="false" outlineLevel="0" collapsed="false">
      <c r="A29" s="2" t="n">
        <v>28</v>
      </c>
      <c r="B29" s="2" t="s">
        <v>92</v>
      </c>
      <c r="C29" s="2" t="s">
        <v>83</v>
      </c>
      <c r="D29" s="2"/>
      <c r="E29" s="2"/>
      <c r="F29" s="2"/>
      <c r="G29" s="2"/>
      <c r="H29" s="2"/>
      <c r="I29" s="3"/>
      <c r="J29" s="2"/>
      <c r="K29" s="2"/>
      <c r="L29" s="2"/>
      <c r="M29" s="2"/>
      <c r="N29" s="2"/>
      <c r="O29" s="3"/>
      <c r="P29" s="3"/>
      <c r="Q29" s="3"/>
      <c r="R29" s="3"/>
      <c r="S29" s="3"/>
      <c r="T29" s="3"/>
      <c r="U29" s="5"/>
      <c r="V29" s="5"/>
      <c r="W29" s="3" t="n">
        <v>0.0161</v>
      </c>
      <c r="X29" s="3"/>
      <c r="Y29" s="3"/>
      <c r="Z29" s="3"/>
      <c r="AA29" s="2"/>
      <c r="AB29" s="2"/>
      <c r="AC29" s="2"/>
      <c r="AD29" s="2"/>
      <c r="AE29" s="2"/>
      <c r="AF29" s="3"/>
      <c r="AG29" s="5"/>
      <c r="AH29" s="5"/>
      <c r="AI29" s="5"/>
      <c r="AJ29" s="5"/>
      <c r="AK29" s="5"/>
      <c r="AL29" s="5"/>
      <c r="AM29" s="2"/>
      <c r="AN29" s="2"/>
      <c r="AO29" s="2"/>
      <c r="AP29" s="2"/>
      <c r="AQ29" s="2"/>
      <c r="AR29" s="3"/>
      <c r="AS29" s="3"/>
      <c r="AT29" s="3"/>
      <c r="AU29" s="3"/>
      <c r="AV29" s="3"/>
      <c r="AW29" s="5"/>
      <c r="AX29" s="5"/>
      <c r="AY29" s="3"/>
      <c r="AZ29" s="3"/>
      <c r="BA29" s="3"/>
      <c r="BB29" s="3"/>
      <c r="BC29" s="3"/>
      <c r="BD29" s="3"/>
      <c r="BE29" s="3" t="n">
        <v>0.08</v>
      </c>
      <c r="BF29" s="3" t="n">
        <v>0.02</v>
      </c>
      <c r="BG29" s="3" t="n">
        <v>0.02</v>
      </c>
      <c r="BH29" s="3" t="n">
        <v>0.035</v>
      </c>
      <c r="BI29" s="3" t="n">
        <v>0.08</v>
      </c>
      <c r="BJ29" s="3" t="n">
        <v>0.2</v>
      </c>
    </row>
    <row r="30" customFormat="false" ht="12.8" hidden="false" customHeight="false" outlineLevel="0" collapsed="false">
      <c r="A30" s="2" t="n">
        <v>29</v>
      </c>
      <c r="B30" s="2" t="s">
        <v>93</v>
      </c>
      <c r="C30" s="2" t="s">
        <v>94</v>
      </c>
      <c r="D30" s="2"/>
      <c r="E30" s="2"/>
      <c r="F30" s="2"/>
      <c r="G30" s="2"/>
      <c r="H30" s="2"/>
      <c r="I30" s="3"/>
      <c r="J30" s="2"/>
      <c r="K30" s="2"/>
      <c r="L30" s="2"/>
      <c r="M30" s="2"/>
      <c r="N30" s="2"/>
      <c r="O30" s="3"/>
      <c r="P30" s="3"/>
      <c r="Q30" s="3"/>
      <c r="R30" s="3"/>
      <c r="S30" s="3"/>
      <c r="T30" s="3"/>
      <c r="U30" s="5"/>
      <c r="V30" s="5"/>
      <c r="W30" s="3" t="n">
        <v>0.0111</v>
      </c>
      <c r="X30" s="3"/>
      <c r="Y30" s="3"/>
      <c r="Z30" s="3"/>
      <c r="AA30" s="2"/>
      <c r="AB30" s="2"/>
      <c r="AC30" s="2"/>
      <c r="AD30" s="2"/>
      <c r="AE30" s="2"/>
      <c r="AF30" s="3"/>
      <c r="AG30" s="5"/>
      <c r="AH30" s="5"/>
      <c r="AI30" s="5"/>
      <c r="AJ30" s="5"/>
      <c r="AK30" s="5"/>
      <c r="AL30" s="5"/>
      <c r="AM30" s="2"/>
      <c r="AN30" s="2"/>
      <c r="AO30" s="2"/>
      <c r="AP30" s="2"/>
      <c r="AQ30" s="2"/>
      <c r="AR30" s="3"/>
      <c r="AS30" s="3"/>
      <c r="AT30" s="3"/>
      <c r="AU30" s="3"/>
      <c r="AV30" s="3"/>
      <c r="AW30" s="5"/>
      <c r="AX30" s="5"/>
      <c r="AY30" s="3"/>
      <c r="AZ30" s="3"/>
      <c r="BA30" s="3"/>
      <c r="BB30" s="3"/>
      <c r="BC30" s="3"/>
      <c r="BD30" s="3"/>
      <c r="BE30" s="3" t="n">
        <v>0.08</v>
      </c>
      <c r="BF30" s="3" t="n">
        <v>0.02</v>
      </c>
      <c r="BG30" s="3" t="n">
        <v>0.02</v>
      </c>
      <c r="BH30" s="3" t="n">
        <v>0.035</v>
      </c>
      <c r="BI30" s="3" t="n">
        <v>0.08</v>
      </c>
      <c r="BJ30" s="3" t="n">
        <v>0.2</v>
      </c>
    </row>
    <row r="31" customFormat="false" ht="12.8" hidden="false" customHeight="false" outlineLevel="0" collapsed="false">
      <c r="A31" s="2" t="n">
        <v>30</v>
      </c>
      <c r="B31" s="2" t="s">
        <v>95</v>
      </c>
      <c r="C31" s="2" t="s">
        <v>94</v>
      </c>
      <c r="D31" s="2"/>
      <c r="E31" s="2"/>
      <c r="F31" s="2"/>
      <c r="G31" s="2"/>
      <c r="H31" s="2"/>
      <c r="I31" s="3"/>
      <c r="J31" s="2"/>
      <c r="K31" s="2"/>
      <c r="L31" s="2"/>
      <c r="M31" s="2"/>
      <c r="N31" s="2"/>
      <c r="O31" s="3"/>
      <c r="P31" s="3"/>
      <c r="Q31" s="3"/>
      <c r="R31" s="3"/>
      <c r="S31" s="3"/>
      <c r="T31" s="3"/>
      <c r="U31" s="5"/>
      <c r="V31" s="5"/>
      <c r="W31" s="3" t="n">
        <v>0.0111</v>
      </c>
      <c r="X31" s="3"/>
      <c r="Y31" s="3"/>
      <c r="Z31" s="3"/>
      <c r="AA31" s="2"/>
      <c r="AB31" s="2"/>
      <c r="AC31" s="2"/>
      <c r="AD31" s="2"/>
      <c r="AE31" s="2"/>
      <c r="AF31" s="3"/>
      <c r="AG31" s="5"/>
      <c r="AH31" s="5"/>
      <c r="AI31" s="5"/>
      <c r="AJ31" s="5"/>
      <c r="AK31" s="5"/>
      <c r="AL31" s="5"/>
      <c r="AM31" s="2"/>
      <c r="AN31" s="2"/>
      <c r="AO31" s="2"/>
      <c r="AP31" s="2"/>
      <c r="AQ31" s="2"/>
      <c r="AR31" s="3"/>
      <c r="AS31" s="3"/>
      <c r="AT31" s="3"/>
      <c r="AU31" s="3"/>
      <c r="AV31" s="3"/>
      <c r="AW31" s="5"/>
      <c r="AX31" s="5"/>
      <c r="AY31" s="3"/>
      <c r="AZ31" s="3"/>
      <c r="BA31" s="3"/>
      <c r="BB31" s="3"/>
      <c r="BC31" s="3"/>
      <c r="BD31" s="3"/>
      <c r="BE31" s="3" t="n">
        <v>0.08</v>
      </c>
      <c r="BF31" s="3" t="n">
        <v>0.02</v>
      </c>
      <c r="BG31" s="3" t="n">
        <v>0.02</v>
      </c>
      <c r="BH31" s="3" t="n">
        <v>0.035</v>
      </c>
      <c r="BI31" s="3" t="n">
        <v>0.08</v>
      </c>
      <c r="BJ31" s="3" t="n">
        <v>0.2</v>
      </c>
    </row>
    <row r="32" customFormat="false" ht="12.8" hidden="false" customHeight="false" outlineLevel="0" collapsed="false">
      <c r="A32" s="2" t="n">
        <v>31</v>
      </c>
      <c r="B32" s="2" t="s">
        <v>96</v>
      </c>
      <c r="C32" s="2" t="s">
        <v>94</v>
      </c>
      <c r="D32" s="2"/>
      <c r="E32" s="2"/>
      <c r="F32" s="2"/>
      <c r="G32" s="2"/>
      <c r="H32" s="2"/>
      <c r="I32" s="3"/>
      <c r="J32" s="2"/>
      <c r="K32" s="2"/>
      <c r="L32" s="2"/>
      <c r="M32" s="2"/>
      <c r="N32" s="2"/>
      <c r="O32" s="3"/>
      <c r="P32" s="3"/>
      <c r="Q32" s="3"/>
      <c r="R32" s="3"/>
      <c r="S32" s="3"/>
      <c r="T32" s="3"/>
      <c r="U32" s="5"/>
      <c r="V32" s="5"/>
      <c r="W32" s="3" t="n">
        <v>0.0111</v>
      </c>
      <c r="X32" s="3"/>
      <c r="Y32" s="3"/>
      <c r="Z32" s="3"/>
      <c r="AA32" s="2"/>
      <c r="AB32" s="2"/>
      <c r="AC32" s="2"/>
      <c r="AD32" s="2"/>
      <c r="AE32" s="2"/>
      <c r="AF32" s="3"/>
      <c r="AG32" s="5"/>
      <c r="AH32" s="5"/>
      <c r="AI32" s="5"/>
      <c r="AJ32" s="5"/>
      <c r="AK32" s="5"/>
      <c r="AL32" s="5"/>
      <c r="AM32" s="2"/>
      <c r="AN32" s="2"/>
      <c r="AO32" s="2"/>
      <c r="AP32" s="2"/>
      <c r="AQ32" s="2"/>
      <c r="AR32" s="3"/>
      <c r="AS32" s="3"/>
      <c r="AT32" s="3"/>
      <c r="AU32" s="3"/>
      <c r="AV32" s="3"/>
      <c r="AW32" s="5"/>
      <c r="AX32" s="5"/>
      <c r="AY32" s="3"/>
      <c r="AZ32" s="3"/>
      <c r="BA32" s="3"/>
      <c r="BB32" s="3"/>
      <c r="BC32" s="3"/>
      <c r="BD32" s="3"/>
      <c r="BE32" s="3" t="n">
        <v>0.08</v>
      </c>
      <c r="BF32" s="3" t="n">
        <v>0.02</v>
      </c>
      <c r="BG32" s="3" t="n">
        <v>0.02</v>
      </c>
      <c r="BH32" s="3" t="n">
        <v>0.035</v>
      </c>
      <c r="BI32" s="3" t="n">
        <v>0.08</v>
      </c>
      <c r="BJ32" s="3" t="n">
        <v>0.2</v>
      </c>
    </row>
    <row r="33" customFormat="false" ht="12.8" hidden="false" customHeight="false" outlineLevel="0" collapsed="false">
      <c r="A33" s="2" t="n">
        <v>32</v>
      </c>
      <c r="B33" s="2" t="s">
        <v>97</v>
      </c>
      <c r="C33" s="2" t="s">
        <v>94</v>
      </c>
      <c r="D33" s="2"/>
      <c r="E33" s="2"/>
      <c r="F33" s="2"/>
      <c r="G33" s="2"/>
      <c r="H33" s="2"/>
      <c r="I33" s="3"/>
      <c r="J33" s="2"/>
      <c r="K33" s="2"/>
      <c r="L33" s="2"/>
      <c r="M33" s="2"/>
      <c r="N33" s="2"/>
      <c r="O33" s="3"/>
      <c r="P33" s="3"/>
      <c r="Q33" s="3"/>
      <c r="R33" s="3"/>
      <c r="S33" s="3"/>
      <c r="T33" s="3"/>
      <c r="U33" s="5"/>
      <c r="V33" s="5"/>
      <c r="W33" s="3" t="n">
        <v>0.0111</v>
      </c>
      <c r="X33" s="3"/>
      <c r="Y33" s="3"/>
      <c r="Z33" s="3"/>
      <c r="AA33" s="2"/>
      <c r="AB33" s="2"/>
      <c r="AC33" s="2"/>
      <c r="AD33" s="2"/>
      <c r="AE33" s="2"/>
      <c r="AF33" s="3"/>
      <c r="AG33" s="5"/>
      <c r="AH33" s="5"/>
      <c r="AI33" s="5"/>
      <c r="AJ33" s="5"/>
      <c r="AK33" s="5"/>
      <c r="AL33" s="5"/>
      <c r="AM33" s="2"/>
      <c r="AN33" s="2"/>
      <c r="AO33" s="2"/>
      <c r="AP33" s="2"/>
      <c r="AQ33" s="2"/>
      <c r="AR33" s="3"/>
      <c r="AS33" s="3"/>
      <c r="AT33" s="3"/>
      <c r="AU33" s="3"/>
      <c r="AV33" s="3"/>
      <c r="AW33" s="5"/>
      <c r="AX33" s="5"/>
      <c r="AY33" s="3"/>
      <c r="AZ33" s="3"/>
      <c r="BA33" s="3"/>
      <c r="BB33" s="3"/>
      <c r="BC33" s="3"/>
      <c r="BD33" s="3"/>
      <c r="BE33" s="3" t="n">
        <v>0.08</v>
      </c>
      <c r="BF33" s="3" t="n">
        <v>0.02</v>
      </c>
      <c r="BG33" s="3" t="n">
        <v>0.02</v>
      </c>
      <c r="BH33" s="3" t="n">
        <v>0.035</v>
      </c>
      <c r="BI33" s="3" t="n">
        <v>0.08</v>
      </c>
      <c r="BJ33" s="3" t="n">
        <v>0.2</v>
      </c>
    </row>
    <row r="34" customFormat="false" ht="12.8" hidden="false" customHeight="false" outlineLevel="0" collapsed="false">
      <c r="A34" s="2" t="n">
        <v>33</v>
      </c>
      <c r="B34" s="2" t="s">
        <v>98</v>
      </c>
      <c r="C34" s="2" t="s">
        <v>94</v>
      </c>
      <c r="D34" s="2"/>
      <c r="E34" s="2"/>
      <c r="F34" s="2"/>
      <c r="G34" s="2"/>
      <c r="H34" s="2"/>
      <c r="I34" s="3"/>
      <c r="J34" s="2"/>
      <c r="K34" s="2"/>
      <c r="L34" s="2"/>
      <c r="M34" s="2"/>
      <c r="N34" s="2"/>
      <c r="O34" s="3"/>
      <c r="P34" s="3"/>
      <c r="Q34" s="3"/>
      <c r="R34" s="3"/>
      <c r="S34" s="3"/>
      <c r="T34" s="3"/>
      <c r="U34" s="5"/>
      <c r="V34" s="5"/>
      <c r="W34" s="3" t="n">
        <v>0.0111</v>
      </c>
      <c r="X34" s="3"/>
      <c r="Y34" s="3"/>
      <c r="Z34" s="3"/>
      <c r="AA34" s="2"/>
      <c r="AB34" s="2"/>
      <c r="AC34" s="2"/>
      <c r="AD34" s="2"/>
      <c r="AE34" s="2"/>
      <c r="AF34" s="3"/>
      <c r="AG34" s="5"/>
      <c r="AH34" s="5"/>
      <c r="AI34" s="5"/>
      <c r="AJ34" s="5"/>
      <c r="AK34" s="5"/>
      <c r="AL34" s="5"/>
      <c r="AM34" s="2"/>
      <c r="AN34" s="2"/>
      <c r="AO34" s="2"/>
      <c r="AP34" s="2"/>
      <c r="AQ34" s="2"/>
      <c r="AR34" s="3"/>
      <c r="AS34" s="3"/>
      <c r="AT34" s="3"/>
      <c r="AU34" s="3"/>
      <c r="AV34" s="3"/>
      <c r="AW34" s="5"/>
      <c r="AX34" s="5"/>
      <c r="AY34" s="3"/>
      <c r="AZ34" s="3"/>
      <c r="BA34" s="3"/>
      <c r="BB34" s="3"/>
      <c r="BC34" s="3"/>
      <c r="BD34" s="3"/>
      <c r="BE34" s="3" t="n">
        <v>0.08</v>
      </c>
      <c r="BF34" s="3" t="n">
        <v>0.02</v>
      </c>
      <c r="BG34" s="3" t="n">
        <v>0.02</v>
      </c>
      <c r="BH34" s="3" t="n">
        <v>0.035</v>
      </c>
      <c r="BI34" s="3" t="n">
        <v>0.08</v>
      </c>
      <c r="BJ34" s="3" t="n">
        <v>0.2</v>
      </c>
    </row>
    <row r="35" customFormat="false" ht="12.8" hidden="false" customHeight="false" outlineLevel="0" collapsed="false">
      <c r="A35" s="2" t="n">
        <v>34</v>
      </c>
      <c r="B35" s="2" t="s">
        <v>99</v>
      </c>
      <c r="C35" s="2" t="s">
        <v>100</v>
      </c>
      <c r="D35" s="2"/>
      <c r="E35" s="2"/>
      <c r="F35" s="2"/>
      <c r="G35" s="2"/>
      <c r="H35" s="2"/>
      <c r="I35" s="3"/>
      <c r="J35" s="2"/>
      <c r="K35" s="2"/>
      <c r="L35" s="2"/>
      <c r="M35" s="2"/>
      <c r="N35" s="2"/>
      <c r="O35" s="3"/>
      <c r="P35" s="3"/>
      <c r="Q35" s="3"/>
      <c r="R35" s="3"/>
      <c r="S35" s="3"/>
      <c r="T35" s="3"/>
      <c r="U35" s="5"/>
      <c r="V35" s="5"/>
      <c r="W35" s="3" t="n">
        <v>0.0161</v>
      </c>
      <c r="X35" s="3"/>
      <c r="Y35" s="3"/>
      <c r="Z35" s="3"/>
      <c r="AA35" s="2"/>
      <c r="AB35" s="2"/>
      <c r="AC35" s="2"/>
      <c r="AD35" s="2"/>
      <c r="AE35" s="2"/>
      <c r="AF35" s="3"/>
      <c r="AG35" s="5"/>
      <c r="AH35" s="5"/>
      <c r="AI35" s="5"/>
      <c r="AJ35" s="5"/>
      <c r="AK35" s="5"/>
      <c r="AL35" s="5"/>
      <c r="AM35" s="2"/>
      <c r="AN35" s="2"/>
      <c r="AO35" s="2"/>
      <c r="AP35" s="2"/>
      <c r="AQ35" s="2"/>
      <c r="AR35" s="3"/>
      <c r="AS35" s="3"/>
      <c r="AT35" s="3"/>
      <c r="AU35" s="3"/>
      <c r="AV35" s="3"/>
      <c r="AW35" s="5"/>
      <c r="AX35" s="5"/>
      <c r="AY35" s="3"/>
      <c r="AZ35" s="3"/>
      <c r="BA35" s="3"/>
      <c r="BB35" s="3"/>
      <c r="BC35" s="3"/>
      <c r="BD35" s="3"/>
      <c r="BE35" s="3" t="n">
        <v>0.08</v>
      </c>
      <c r="BF35" s="3" t="n">
        <v>0.02</v>
      </c>
      <c r="BG35" s="3" t="n">
        <v>0.02</v>
      </c>
      <c r="BH35" s="3" t="n">
        <v>0.035</v>
      </c>
      <c r="BI35" s="3" t="n">
        <v>0.08</v>
      </c>
      <c r="BJ35" s="3" t="n">
        <v>0.2</v>
      </c>
    </row>
    <row r="36" customFormat="false" ht="12.8" hidden="false" customHeight="false" outlineLevel="0" collapsed="false">
      <c r="A36" s="2" t="n">
        <v>35</v>
      </c>
      <c r="B36" s="2" t="s">
        <v>101</v>
      </c>
      <c r="C36" s="2" t="s">
        <v>100</v>
      </c>
      <c r="D36" s="2"/>
      <c r="E36" s="2"/>
      <c r="F36" s="2"/>
      <c r="G36" s="2"/>
      <c r="H36" s="2"/>
      <c r="I36" s="3"/>
      <c r="J36" s="2"/>
      <c r="K36" s="2"/>
      <c r="L36" s="2"/>
      <c r="M36" s="2"/>
      <c r="N36" s="2"/>
      <c r="O36" s="3"/>
      <c r="P36" s="3"/>
      <c r="Q36" s="3"/>
      <c r="R36" s="3"/>
      <c r="S36" s="3"/>
      <c r="T36" s="3"/>
      <c r="U36" s="5"/>
      <c r="V36" s="5"/>
      <c r="W36" s="3" t="n">
        <v>0.0111</v>
      </c>
      <c r="X36" s="3"/>
      <c r="Y36" s="3"/>
      <c r="Z36" s="3"/>
      <c r="AA36" s="2"/>
      <c r="AB36" s="2"/>
      <c r="AC36" s="2"/>
      <c r="AD36" s="2"/>
      <c r="AE36" s="2"/>
      <c r="AF36" s="3"/>
      <c r="AG36" s="5"/>
      <c r="AH36" s="5"/>
      <c r="AI36" s="5"/>
      <c r="AJ36" s="5"/>
      <c r="AK36" s="5"/>
      <c r="AL36" s="5"/>
      <c r="AM36" s="2"/>
      <c r="AN36" s="2"/>
      <c r="AO36" s="2"/>
      <c r="AP36" s="2"/>
      <c r="AQ36" s="2"/>
      <c r="AR36" s="3"/>
      <c r="AS36" s="3"/>
      <c r="AT36" s="3"/>
      <c r="AU36" s="3"/>
      <c r="AV36" s="3"/>
      <c r="AW36" s="5"/>
      <c r="AX36" s="5"/>
      <c r="AY36" s="3"/>
      <c r="AZ36" s="3"/>
      <c r="BA36" s="3"/>
      <c r="BB36" s="3"/>
      <c r="BC36" s="3"/>
      <c r="BD36" s="3"/>
      <c r="BE36" s="3" t="n">
        <v>0.08</v>
      </c>
      <c r="BF36" s="3" t="n">
        <v>0.02</v>
      </c>
      <c r="BG36" s="3" t="n">
        <v>0.02</v>
      </c>
      <c r="BH36" s="3" t="n">
        <v>0.035</v>
      </c>
      <c r="BI36" s="3" t="n">
        <v>0.08</v>
      </c>
      <c r="BJ36" s="3" t="n">
        <v>0.2</v>
      </c>
    </row>
    <row r="37" customFormat="false" ht="12.8" hidden="false" customHeight="false" outlineLevel="0" collapsed="false">
      <c r="A37" s="2" t="n">
        <v>36</v>
      </c>
      <c r="B37" s="2" t="s">
        <v>102</v>
      </c>
      <c r="C37" s="2" t="s">
        <v>100</v>
      </c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3"/>
      <c r="P37" s="3"/>
      <c r="Q37" s="3"/>
      <c r="R37" s="3"/>
      <c r="S37" s="3"/>
      <c r="T37" s="3"/>
      <c r="U37" s="5"/>
      <c r="V37" s="5"/>
      <c r="W37" s="3" t="n">
        <v>0.0161</v>
      </c>
      <c r="X37" s="3"/>
      <c r="Y37" s="3"/>
      <c r="Z37" s="3"/>
      <c r="AA37" s="2"/>
      <c r="AB37" s="2"/>
      <c r="AC37" s="2"/>
      <c r="AD37" s="2"/>
      <c r="AE37" s="2"/>
      <c r="AF37" s="3"/>
      <c r="AG37" s="5"/>
      <c r="AH37" s="5"/>
      <c r="AI37" s="5"/>
      <c r="AJ37" s="5"/>
      <c r="AK37" s="5"/>
      <c r="AL37" s="5"/>
      <c r="AM37" s="2"/>
      <c r="AN37" s="2"/>
      <c r="AO37" s="2"/>
      <c r="AP37" s="2"/>
      <c r="AQ37" s="2"/>
      <c r="AR37" s="3"/>
      <c r="AS37" s="3"/>
      <c r="AT37" s="3"/>
      <c r="AU37" s="3"/>
      <c r="AV37" s="3"/>
      <c r="AW37" s="5"/>
      <c r="AX37" s="5"/>
      <c r="AY37" s="3"/>
      <c r="AZ37" s="3"/>
      <c r="BA37" s="3"/>
      <c r="BB37" s="3"/>
      <c r="BC37" s="3"/>
      <c r="BD37" s="3"/>
      <c r="BE37" s="3" t="n">
        <v>0.08</v>
      </c>
      <c r="BF37" s="3" t="n">
        <v>0.02</v>
      </c>
      <c r="BG37" s="3" t="n">
        <v>0.02</v>
      </c>
      <c r="BH37" s="3" t="n">
        <v>0.035</v>
      </c>
      <c r="BI37" s="3" t="n">
        <v>0.08</v>
      </c>
      <c r="BJ37" s="3" t="n">
        <v>0.2</v>
      </c>
    </row>
    <row r="38" customFormat="false" ht="12.8" hidden="false" customHeight="false" outlineLevel="0" collapsed="false">
      <c r="A38" s="2" t="n">
        <v>37</v>
      </c>
      <c r="B38" s="2" t="s">
        <v>103</v>
      </c>
      <c r="C38" s="2" t="s">
        <v>100</v>
      </c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3"/>
      <c r="P38" s="3"/>
      <c r="Q38" s="3"/>
      <c r="R38" s="3"/>
      <c r="S38" s="3"/>
      <c r="T38" s="3"/>
      <c r="U38" s="5"/>
      <c r="V38" s="5"/>
      <c r="W38" s="3" t="n">
        <v>0.0111</v>
      </c>
      <c r="X38" s="3"/>
      <c r="Y38" s="3"/>
      <c r="Z38" s="3"/>
      <c r="AA38" s="2"/>
      <c r="AB38" s="2"/>
      <c r="AC38" s="2"/>
      <c r="AD38" s="2"/>
      <c r="AE38" s="2"/>
      <c r="AF38" s="3"/>
      <c r="AG38" s="5"/>
      <c r="AH38" s="5"/>
      <c r="AI38" s="5"/>
      <c r="AJ38" s="5"/>
      <c r="AK38" s="5"/>
      <c r="AL38" s="5"/>
      <c r="AM38" s="2"/>
      <c r="AN38" s="2"/>
      <c r="AO38" s="2"/>
      <c r="AP38" s="2"/>
      <c r="AQ38" s="2"/>
      <c r="AR38" s="3"/>
      <c r="AS38" s="3"/>
      <c r="AT38" s="3"/>
      <c r="AU38" s="3"/>
      <c r="AV38" s="3"/>
      <c r="AW38" s="5"/>
      <c r="AX38" s="5"/>
      <c r="AY38" s="3"/>
      <c r="AZ38" s="3"/>
      <c r="BA38" s="3"/>
      <c r="BB38" s="3"/>
      <c r="BC38" s="3"/>
      <c r="BD38" s="3"/>
      <c r="BE38" s="3" t="n">
        <v>0.08</v>
      </c>
      <c r="BF38" s="3" t="n">
        <v>0.02</v>
      </c>
      <c r="BG38" s="3" t="n">
        <v>0.02</v>
      </c>
      <c r="BH38" s="3" t="n">
        <v>0.035</v>
      </c>
      <c r="BI38" s="3" t="n">
        <v>0.08</v>
      </c>
      <c r="BJ38" s="3" t="n">
        <v>0.2</v>
      </c>
    </row>
    <row r="39" customFormat="false" ht="12.8" hidden="false" customHeight="false" outlineLevel="0" collapsed="false">
      <c r="A39" s="2" t="n">
        <v>38</v>
      </c>
      <c r="B39" s="2" t="s">
        <v>104</v>
      </c>
      <c r="C39" s="2" t="s">
        <v>100</v>
      </c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3"/>
      <c r="P39" s="3"/>
      <c r="Q39" s="3"/>
      <c r="R39" s="3"/>
      <c r="S39" s="3"/>
      <c r="T39" s="3"/>
      <c r="U39" s="5"/>
      <c r="V39" s="5"/>
      <c r="W39" s="3" t="n">
        <v>0.0161</v>
      </c>
      <c r="X39" s="3"/>
      <c r="Y39" s="3"/>
      <c r="Z39" s="3"/>
      <c r="AA39" s="2"/>
      <c r="AB39" s="2"/>
      <c r="AC39" s="2"/>
      <c r="AD39" s="2"/>
      <c r="AE39" s="2"/>
      <c r="AF39" s="3"/>
      <c r="AG39" s="5"/>
      <c r="AH39" s="5"/>
      <c r="AI39" s="5"/>
      <c r="AJ39" s="5"/>
      <c r="AK39" s="5"/>
      <c r="AL39" s="5"/>
      <c r="AM39" s="2"/>
      <c r="AN39" s="2"/>
      <c r="AO39" s="2"/>
      <c r="AP39" s="2"/>
      <c r="AQ39" s="2"/>
      <c r="AR39" s="3"/>
      <c r="AS39" s="3"/>
      <c r="AT39" s="3"/>
      <c r="AU39" s="3"/>
      <c r="AV39" s="3"/>
      <c r="AW39" s="5"/>
      <c r="AX39" s="5"/>
      <c r="AY39" s="3"/>
      <c r="AZ39" s="3"/>
      <c r="BA39" s="3"/>
      <c r="BB39" s="3"/>
      <c r="BC39" s="3"/>
      <c r="BD39" s="3"/>
      <c r="BE39" s="3" t="n">
        <v>0.08</v>
      </c>
      <c r="BF39" s="3" t="n">
        <v>0.02</v>
      </c>
      <c r="BG39" s="3" t="n">
        <v>0.02</v>
      </c>
      <c r="BH39" s="3" t="n">
        <v>0.035</v>
      </c>
      <c r="BI39" s="3" t="n">
        <v>0.08</v>
      </c>
      <c r="BJ39" s="3" t="n">
        <v>0.2</v>
      </c>
    </row>
    <row r="40" customFormat="false" ht="12.8" hidden="false" customHeight="false" outlineLevel="0" collapsed="false">
      <c r="A40" s="2" t="n">
        <v>39</v>
      </c>
      <c r="B40" s="2" t="s">
        <v>105</v>
      </c>
      <c r="C40" s="2" t="s">
        <v>106</v>
      </c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3"/>
      <c r="P40" s="3"/>
      <c r="Q40" s="3"/>
      <c r="R40" s="3"/>
      <c r="S40" s="3"/>
      <c r="T40" s="3"/>
      <c r="U40" s="5"/>
      <c r="V40" s="5"/>
      <c r="W40" s="3" t="n">
        <v>0.0159</v>
      </c>
      <c r="X40" s="3"/>
      <c r="Y40" s="3"/>
      <c r="Z40" s="3"/>
      <c r="AA40" s="2"/>
      <c r="AB40" s="2"/>
      <c r="AC40" s="2"/>
      <c r="AD40" s="2"/>
      <c r="AE40" s="2"/>
      <c r="AF40" s="3"/>
      <c r="AG40" s="5"/>
      <c r="AH40" s="5"/>
      <c r="AI40" s="5"/>
      <c r="AJ40" s="5"/>
      <c r="AK40" s="5"/>
      <c r="AL40" s="5"/>
      <c r="AM40" s="2"/>
      <c r="AN40" s="2"/>
      <c r="AO40" s="2"/>
      <c r="AP40" s="2"/>
      <c r="AQ40" s="2"/>
      <c r="AR40" s="3"/>
      <c r="AS40" s="3"/>
      <c r="AT40" s="3"/>
      <c r="AU40" s="3"/>
      <c r="AV40" s="3"/>
      <c r="AW40" s="5"/>
      <c r="AX40" s="5"/>
      <c r="AY40" s="3"/>
      <c r="AZ40" s="3"/>
      <c r="BA40" s="3"/>
      <c r="BB40" s="3"/>
      <c r="BC40" s="3"/>
      <c r="BD40" s="3"/>
      <c r="BE40" s="3" t="n">
        <v>0.08</v>
      </c>
      <c r="BF40" s="3" t="n">
        <v>0.02</v>
      </c>
      <c r="BG40" s="3" t="n">
        <v>0.02</v>
      </c>
      <c r="BH40" s="3" t="n">
        <v>0.035</v>
      </c>
      <c r="BI40" s="3" t="n">
        <v>0.08</v>
      </c>
      <c r="BJ40" s="3" t="n">
        <v>0.2</v>
      </c>
    </row>
    <row r="41" customFormat="false" ht="12.8" hidden="false" customHeight="false" outlineLevel="0" collapsed="false">
      <c r="A41" s="2" t="n">
        <v>40</v>
      </c>
      <c r="B41" s="2" t="s">
        <v>107</v>
      </c>
      <c r="C41" s="2" t="s">
        <v>106</v>
      </c>
      <c r="D41" s="2"/>
      <c r="E41" s="2"/>
      <c r="F41" s="2"/>
      <c r="G41" s="2"/>
      <c r="H41" s="2"/>
      <c r="I41" s="3"/>
      <c r="J41" s="2"/>
      <c r="K41" s="2"/>
      <c r="L41" s="2"/>
      <c r="M41" s="2"/>
      <c r="N41" s="2"/>
      <c r="O41" s="3"/>
      <c r="P41" s="3"/>
      <c r="Q41" s="3"/>
      <c r="R41" s="3"/>
      <c r="S41" s="3"/>
      <c r="T41" s="3"/>
      <c r="U41" s="5"/>
      <c r="V41" s="5"/>
      <c r="W41" s="3" t="n">
        <v>0.0236</v>
      </c>
      <c r="X41" s="3"/>
      <c r="Y41" s="3"/>
      <c r="Z41" s="3"/>
      <c r="AA41" s="2"/>
      <c r="AB41" s="2"/>
      <c r="AC41" s="2"/>
      <c r="AD41" s="2"/>
      <c r="AE41" s="2"/>
      <c r="AF41" s="3"/>
      <c r="AG41" s="5"/>
      <c r="AH41" s="5"/>
      <c r="AI41" s="5"/>
      <c r="AJ41" s="5"/>
      <c r="AK41" s="5"/>
      <c r="AL41" s="5"/>
      <c r="AM41" s="2"/>
      <c r="AN41" s="2"/>
      <c r="AO41" s="2"/>
      <c r="AP41" s="2"/>
      <c r="AQ41" s="2"/>
      <c r="AR41" s="3"/>
      <c r="AS41" s="3"/>
      <c r="AT41" s="3"/>
      <c r="AU41" s="3"/>
      <c r="AV41" s="3"/>
      <c r="AW41" s="5"/>
      <c r="AX41" s="5"/>
      <c r="AY41" s="3"/>
      <c r="AZ41" s="3"/>
      <c r="BA41" s="3"/>
      <c r="BB41" s="3"/>
      <c r="BC41" s="3"/>
      <c r="BD41" s="3"/>
      <c r="BE41" s="3" t="n">
        <v>0.08</v>
      </c>
      <c r="BF41" s="3" t="n">
        <v>0.02</v>
      </c>
      <c r="BG41" s="3" t="n">
        <v>0.02</v>
      </c>
      <c r="BH41" s="3" t="n">
        <v>0.035</v>
      </c>
      <c r="BI41" s="3" t="n">
        <v>0.08</v>
      </c>
      <c r="BJ41" s="3" t="n">
        <v>0.2</v>
      </c>
    </row>
    <row r="42" customFormat="false" ht="12.8" hidden="false" customHeight="false" outlineLevel="0" collapsed="false">
      <c r="A42" s="2" t="n">
        <v>41</v>
      </c>
      <c r="B42" s="2" t="s">
        <v>108</v>
      </c>
      <c r="C42" s="2" t="s">
        <v>106</v>
      </c>
      <c r="D42" s="2"/>
      <c r="E42" s="2"/>
      <c r="F42" s="2"/>
      <c r="G42" s="2"/>
      <c r="H42" s="2"/>
      <c r="I42" s="3"/>
      <c r="J42" s="2"/>
      <c r="K42" s="2"/>
      <c r="L42" s="2"/>
      <c r="M42" s="2"/>
      <c r="N42" s="2"/>
      <c r="O42" s="3"/>
      <c r="P42" s="3"/>
      <c r="Q42" s="3"/>
      <c r="R42" s="3"/>
      <c r="S42" s="3"/>
      <c r="T42" s="3"/>
      <c r="U42" s="5"/>
      <c r="V42" s="5"/>
      <c r="W42" s="3" t="n">
        <v>0.0159</v>
      </c>
      <c r="X42" s="3"/>
      <c r="Y42" s="3"/>
      <c r="Z42" s="3"/>
      <c r="AA42" s="2"/>
      <c r="AB42" s="2"/>
      <c r="AC42" s="2"/>
      <c r="AD42" s="2"/>
      <c r="AE42" s="2"/>
      <c r="AF42" s="3"/>
      <c r="AG42" s="5"/>
      <c r="AH42" s="5"/>
      <c r="AI42" s="5"/>
      <c r="AJ42" s="5"/>
      <c r="AK42" s="5"/>
      <c r="AL42" s="5"/>
      <c r="AM42" s="2"/>
      <c r="AN42" s="2"/>
      <c r="AO42" s="2"/>
      <c r="AP42" s="2"/>
      <c r="AQ42" s="2"/>
      <c r="AR42" s="3"/>
      <c r="AS42" s="3"/>
      <c r="AT42" s="3"/>
      <c r="AU42" s="3"/>
      <c r="AV42" s="3"/>
      <c r="AW42" s="5"/>
      <c r="AX42" s="5"/>
      <c r="AY42" s="3"/>
      <c r="AZ42" s="3"/>
      <c r="BA42" s="3"/>
      <c r="BB42" s="3"/>
      <c r="BC42" s="3"/>
      <c r="BD42" s="3"/>
      <c r="BE42" s="3" t="n">
        <v>0.08</v>
      </c>
      <c r="BF42" s="3" t="n">
        <v>0.02</v>
      </c>
      <c r="BG42" s="3" t="n">
        <v>0.02</v>
      </c>
      <c r="BH42" s="3" t="n">
        <v>0.035</v>
      </c>
      <c r="BI42" s="3" t="n">
        <v>0.08</v>
      </c>
      <c r="BJ42" s="3" t="n">
        <v>0.2</v>
      </c>
    </row>
    <row r="43" customFormat="false" ht="12.8" hidden="false" customHeight="false" outlineLevel="0" collapsed="false">
      <c r="A43" s="2" t="n">
        <v>42</v>
      </c>
      <c r="B43" s="2" t="s">
        <v>109</v>
      </c>
      <c r="C43" s="2" t="s">
        <v>106</v>
      </c>
      <c r="D43" s="2"/>
      <c r="E43" s="2"/>
      <c r="F43" s="2"/>
      <c r="G43" s="2"/>
      <c r="H43" s="2"/>
      <c r="I43" s="3"/>
      <c r="J43" s="2"/>
      <c r="K43" s="2"/>
      <c r="L43" s="2"/>
      <c r="M43" s="2"/>
      <c r="N43" s="2"/>
      <c r="O43" s="3"/>
      <c r="P43" s="3"/>
      <c r="Q43" s="3"/>
      <c r="R43" s="3"/>
      <c r="S43" s="3"/>
      <c r="T43" s="3"/>
      <c r="U43" s="5"/>
      <c r="V43" s="5"/>
      <c r="W43" s="3" t="n">
        <v>0.0159</v>
      </c>
      <c r="X43" s="3"/>
      <c r="Y43" s="3"/>
      <c r="Z43" s="3"/>
      <c r="AA43" s="2"/>
      <c r="AB43" s="2"/>
      <c r="AC43" s="2"/>
      <c r="AD43" s="2"/>
      <c r="AE43" s="2"/>
      <c r="AF43" s="3"/>
      <c r="AG43" s="5"/>
      <c r="AH43" s="5"/>
      <c r="AI43" s="5"/>
      <c r="AJ43" s="5"/>
      <c r="AK43" s="5"/>
      <c r="AL43" s="5"/>
      <c r="AM43" s="2"/>
      <c r="AN43" s="2"/>
      <c r="AO43" s="2"/>
      <c r="AP43" s="2"/>
      <c r="AQ43" s="2"/>
      <c r="AR43" s="3"/>
      <c r="AS43" s="3"/>
      <c r="AT43" s="3"/>
      <c r="AU43" s="3"/>
      <c r="AV43" s="3"/>
      <c r="AW43" s="5"/>
      <c r="AX43" s="5"/>
      <c r="AY43" s="3"/>
      <c r="AZ43" s="3"/>
      <c r="BA43" s="3"/>
      <c r="BB43" s="3"/>
      <c r="BC43" s="3"/>
      <c r="BD43" s="3"/>
      <c r="BE43" s="3" t="n">
        <v>0.08</v>
      </c>
      <c r="BF43" s="3" t="n">
        <v>0.02</v>
      </c>
      <c r="BG43" s="3" t="n">
        <v>0.02</v>
      </c>
      <c r="BH43" s="3" t="n">
        <v>0.035</v>
      </c>
      <c r="BI43" s="3" t="n">
        <v>0.08</v>
      </c>
      <c r="BJ43" s="3" t="n">
        <v>0.2</v>
      </c>
    </row>
    <row r="44" customFormat="false" ht="12.8" hidden="false" customHeight="false" outlineLevel="0" collapsed="false">
      <c r="A44" s="2" t="n">
        <v>43</v>
      </c>
      <c r="B44" s="2" t="s">
        <v>110</v>
      </c>
      <c r="C44" s="2" t="s">
        <v>106</v>
      </c>
      <c r="D44" s="2"/>
      <c r="E44" s="2"/>
      <c r="F44" s="2"/>
      <c r="G44" s="2"/>
      <c r="H44" s="2"/>
      <c r="I44" s="3"/>
      <c r="J44" s="2"/>
      <c r="K44" s="2"/>
      <c r="L44" s="2"/>
      <c r="M44" s="2"/>
      <c r="N44" s="2"/>
      <c r="O44" s="3"/>
      <c r="P44" s="3"/>
      <c r="Q44" s="3"/>
      <c r="R44" s="3"/>
      <c r="S44" s="3"/>
      <c r="T44" s="3"/>
      <c r="U44" s="5"/>
      <c r="V44" s="5"/>
      <c r="W44" s="3" t="n">
        <v>0.0159</v>
      </c>
      <c r="X44" s="3"/>
      <c r="Y44" s="3"/>
      <c r="Z44" s="3"/>
      <c r="AA44" s="2"/>
      <c r="AB44" s="2"/>
      <c r="AC44" s="2"/>
      <c r="AD44" s="2"/>
      <c r="AE44" s="2"/>
      <c r="AF44" s="3"/>
      <c r="AG44" s="5"/>
      <c r="AH44" s="5"/>
      <c r="AI44" s="5"/>
      <c r="AJ44" s="5"/>
      <c r="AK44" s="5"/>
      <c r="AL44" s="5"/>
      <c r="AM44" s="2"/>
      <c r="AN44" s="2"/>
      <c r="AO44" s="2"/>
      <c r="AP44" s="2"/>
      <c r="AQ44" s="2"/>
      <c r="AR44" s="3"/>
      <c r="AS44" s="3"/>
      <c r="AT44" s="3"/>
      <c r="AU44" s="3"/>
      <c r="AV44" s="3"/>
      <c r="AW44" s="5"/>
      <c r="AX44" s="5"/>
      <c r="AY44" s="3"/>
      <c r="AZ44" s="3"/>
      <c r="BA44" s="3"/>
      <c r="BB44" s="3"/>
      <c r="BC44" s="3"/>
      <c r="BD44" s="3"/>
      <c r="BE44" s="3" t="n">
        <v>0.08</v>
      </c>
      <c r="BF44" s="3" t="n">
        <v>0.02</v>
      </c>
      <c r="BG44" s="3" t="n">
        <v>0.02</v>
      </c>
      <c r="BH44" s="3" t="n">
        <v>0.035</v>
      </c>
      <c r="BI44" s="3" t="n">
        <v>0.08</v>
      </c>
      <c r="BJ44" s="3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27771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2026-06-22T10:36:58Z</dcterms:created>
  <dc:creator/>
  <dc:description/>
  <dc:language>en-US</dc:language>
  <cp:lastModifiedBy/>
  <dcterms:modified xsi:type="dcterms:W3CDTF">2026-08-04T11:53:42Z</dcterms:modified>
  <cp:revision>124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