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<sst xmlns="http://schemas.openxmlformats.org/spreadsheetml/2006/main" count="78" uniqueCount="65">
  <si>
    <t xml:space="preserve">id</t>
  </si>
  <si>
    <t xml:space="preserve">product_name</t>
  </si>
  <si>
    <t xml:space="preserve">product_category</t>
  </si>
  <si>
    <t xml:space="preserve">selling_price</t>
  </si>
  <si>
    <t xml:space="preserve">product_cost</t>
  </si>
  <si>
    <t xml:space="preserve">shipping_cost</t>
  </si>
  <si>
    <t xml:space="preserve">packaging_cost</t>
  </si>
  <si>
    <t xml:space="preserve">international_shipping_cost</t>
  </si>
  <si>
    <t xml:space="preserve">platform_fees</t>
  </si>
  <si>
    <t xml:space="preserve">payment_fees</t>
  </si>
  <si>
    <t xml:space="preserve">advertising_cost</t>
  </si>
  <si>
    <t xml:space="preserve">orders_this_month</t>
  </si>
  <si>
    <t xml:space="preserve">orders_last_month</t>
  </si>
  <si>
    <t xml:space="preserve">search_this_month</t>
  </si>
  <si>
    <t xml:space="preserve">search_last_month</t>
  </si>
  <si>
    <t xml:space="preserve">reviews_this_month</t>
  </si>
  <si>
    <t xml:space="preserve">reviews_last_month</t>
  </si>
  <si>
    <t xml:space="preserve">number_of_competitors</t>
  </si>
  <si>
    <t xml:space="preserve">avg_top_five_competitor_reviews</t>
  </si>
  <si>
    <t xml:space="preserve">avg_margin</t>
  </si>
  <si>
    <t xml:space="preserve">avg_selling_price</t>
  </si>
  <si>
    <t xml:space="preserve">delivery_time</t>
  </si>
  <si>
    <t xml:space="preserve">weight</t>
  </si>
  <si>
    <t xml:space="preserve">size</t>
  </si>
  <si>
    <t xml:space="preserve">supplier_rating</t>
  </si>
  <si>
    <t xml:space="preserve">moq</t>
  </si>
  <si>
    <t xml:space="preserve">supplier_response_rate</t>
  </si>
  <si>
    <t xml:space="preserve">supplier_completed_orders</t>
  </si>
  <si>
    <t xml:space="preserve">supplier_max_orders</t>
  </si>
  <si>
    <t xml:space="preserve">current_tiktok_trend_score</t>
  </si>
  <si>
    <t xml:space="preserve">last_month_tiktok_trend_score</t>
  </si>
  <si>
    <t xml:space="preserve">number_of_creators</t>
  </si>
  <si>
    <t xml:space="preserve">commission_rate</t>
  </si>
  <si>
    <t xml:space="preserve">transaction_fee_rate</t>
  </si>
  <si>
    <t xml:space="preserve">payoneer_fee_rate</t>
  </si>
  <si>
    <t xml:space="preserve">service_fee_rate</t>
  </si>
  <si>
    <t xml:space="preserve">ad_cost_rate</t>
  </si>
  <si>
    <t xml:space="preserve">target_margin_rate</t>
  </si>
  <si>
    <t xml:space="preserve">Product_1</t>
  </si>
  <si>
    <t xml:space="preserve">Home</t>
  </si>
  <si>
    <t xml:space="preserve">Product_2</t>
  </si>
  <si>
    <t xml:space="preserve">Electronics</t>
  </si>
  <si>
    <t xml:space="preserve">Product_3</t>
  </si>
  <si>
    <t xml:space="preserve">Product_4</t>
  </si>
  <si>
    <t xml:space="preserve">Pets</t>
  </si>
  <si>
    <t xml:space="preserve">Product_5</t>
  </si>
  <si>
    <t xml:space="preserve">Fashion</t>
  </si>
  <si>
    <t xml:space="preserve">Product_6</t>
  </si>
  <si>
    <t xml:space="preserve">Accessories</t>
  </si>
  <si>
    <t xml:space="preserve">Product_7</t>
  </si>
  <si>
    <t xml:space="preserve">Kitchen</t>
  </si>
  <si>
    <t xml:space="preserve">Product_8</t>
  </si>
  <si>
    <t xml:space="preserve">Product_9</t>
  </si>
  <si>
    <t xml:space="preserve">Fitness</t>
  </si>
  <si>
    <t xml:space="preserve">Product_10</t>
  </si>
  <si>
    <t xml:space="preserve">Product_11</t>
  </si>
  <si>
    <t xml:space="preserve">Product_12</t>
  </si>
  <si>
    <t xml:space="preserve">Product_13</t>
  </si>
  <si>
    <t xml:space="preserve">Product_14</t>
  </si>
  <si>
    <t xml:space="preserve">Product_15</t>
  </si>
  <si>
    <t xml:space="preserve">Product_16</t>
  </si>
  <si>
    <t xml:space="preserve">Product_17</t>
  </si>
  <si>
    <t xml:space="preserve">Product_18</t>
  </si>
  <si>
    <t xml:space="preserve">Product_19</t>
  </si>
  <si>
    <t xml:space="preserve">Product_20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</si>
</sst>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1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AA1" activeCellId="0" sqref="AA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5.3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 customFormat="false" ht="15" hidden="false" customHeight="false" outlineLevel="0" collapsed="false">
      <c r="A2" s="0" t="n">
        <v>1</v>
      </c>
      <c r="B2" s="0" t="s">
        <v>38</v>
      </c>
      <c r="C2" s="0" t="s">
        <v>39</v>
      </c>
      <c r="D2" s="0" t="n">
        <v>122.81</v>
      </c>
      <c r="E2" s="0" t="n">
        <v>55.17</v>
      </c>
      <c r="F2" s="0" t="n">
        <v>2.32</v>
      </c>
      <c r="G2" s="0" t="n">
        <v>0.9</v>
      </c>
      <c r="H2" s="0" t="n">
        <v>17.05</v>
      </c>
      <c r="I2" s="0" t="n">
        <v>3.94</v>
      </c>
      <c r="J2" s="0" t="n">
        <v>4.19</v>
      </c>
      <c r="K2" s="0" t="n">
        <v>22.97</v>
      </c>
      <c r="L2" s="0" t="n">
        <v>716</v>
      </c>
      <c r="M2" s="0" t="n">
        <v>278</v>
      </c>
      <c r="N2" s="0" t="n">
        <v>39407</v>
      </c>
      <c r="O2" s="0" t="n">
        <v>6498</v>
      </c>
      <c r="P2" s="0" t="n">
        <v>410</v>
      </c>
      <c r="Q2" s="0" t="n">
        <v>10</v>
      </c>
      <c r="R2" s="0" t="n">
        <v>83</v>
      </c>
      <c r="S2" s="0" t="n">
        <v>1531</v>
      </c>
      <c r="T2" s="0" t="n">
        <v>0.69</v>
      </c>
      <c r="U2" s="0" t="n">
        <v>42.07</v>
      </c>
      <c r="V2" s="0" t="n">
        <v>22</v>
      </c>
      <c r="W2" s="0" t="n">
        <v>2799</v>
      </c>
      <c r="X2" s="0" t="n">
        <f aca="false"> 28*35*22</f>
        <v>21560</v>
      </c>
      <c r="Y2" s="0" t="n">
        <v>3.4</v>
      </c>
      <c r="Z2" s="0" t="n">
        <v>47</v>
      </c>
      <c r="AA2" s="0" t="n">
        <v>80</v>
      </c>
      <c r="AB2" s="0" t="n">
        <v>97986</v>
      </c>
      <c r="AC2" s="0" t="n">
        <v>156607</v>
      </c>
      <c r="AD2" s="0" t="n">
        <v>42</v>
      </c>
      <c r="AE2" s="0" t="n">
        <v>44</v>
      </c>
      <c r="AF2" s="0" t="n">
        <v>77</v>
      </c>
      <c r="AG2" s="0" t="n">
        <v>0.165</v>
      </c>
      <c r="AH2" s="0" t="n">
        <v>0.02</v>
      </c>
      <c r="AI2" s="0" t="n">
        <v>0.016</v>
      </c>
      <c r="AJ2" s="0" t="n">
        <v>0.068</v>
      </c>
      <c r="AK2" s="0" t="n">
        <v>0.089</v>
      </c>
      <c r="AL2" s="0" t="n">
        <v>0.55</v>
      </c>
    </row>
    <row r="3" customFormat="false" ht="15" hidden="false" customHeight="false" outlineLevel="0" collapsed="false">
      <c r="A3" s="0" t="n">
        <v>2</v>
      </c>
      <c r="B3" s="0" t="s">
        <v>40</v>
      </c>
      <c r="C3" s="0" t="s">
        <v>41</v>
      </c>
      <c r="D3" s="0" t="n">
        <v>89.83</v>
      </c>
      <c r="E3" s="0" t="n">
        <v>29.39</v>
      </c>
      <c r="F3" s="0" t="n">
        <v>5.05</v>
      </c>
      <c r="G3" s="0" t="n">
        <v>0.52</v>
      </c>
      <c r="H3" s="0" t="n">
        <v>5.45</v>
      </c>
      <c r="I3" s="0" t="n">
        <v>1.89</v>
      </c>
      <c r="J3" s="0" t="n">
        <v>2.12</v>
      </c>
      <c r="K3" s="0" t="n">
        <v>12.49</v>
      </c>
      <c r="L3" s="0" t="n">
        <v>184</v>
      </c>
      <c r="M3" s="0" t="n">
        <v>580</v>
      </c>
      <c r="N3" s="0" t="n">
        <v>39920</v>
      </c>
      <c r="O3" s="0" t="n">
        <v>3082</v>
      </c>
      <c r="P3" s="0" t="n">
        <v>361</v>
      </c>
      <c r="Q3" s="0" t="n">
        <v>132</v>
      </c>
      <c r="R3" s="0" t="n">
        <v>78</v>
      </c>
      <c r="S3" s="0" t="n">
        <v>7463</v>
      </c>
      <c r="T3" s="0" t="n">
        <v>0.27</v>
      </c>
      <c r="U3" s="0" t="n">
        <v>99.29</v>
      </c>
      <c r="V3" s="0" t="n">
        <v>26</v>
      </c>
      <c r="W3" s="0" t="n">
        <v>696</v>
      </c>
      <c r="X3" s="0" t="n">
        <f aca="false"> 11*14*12</f>
        <v>1848</v>
      </c>
      <c r="Y3" s="0" t="n">
        <v>3.9</v>
      </c>
      <c r="Z3" s="0" t="n">
        <v>917</v>
      </c>
      <c r="AA3" s="0" t="n">
        <v>100</v>
      </c>
      <c r="AB3" s="0" t="n">
        <v>90615</v>
      </c>
      <c r="AC3" s="0" t="n">
        <v>33826</v>
      </c>
      <c r="AD3" s="0" t="n">
        <v>28</v>
      </c>
      <c r="AE3" s="0" t="n">
        <v>19</v>
      </c>
      <c r="AF3" s="0" t="n">
        <v>243</v>
      </c>
      <c r="AG3" s="0" t="n">
        <v>0.195</v>
      </c>
      <c r="AH3" s="0" t="n">
        <v>0.051</v>
      </c>
      <c r="AI3" s="0" t="n">
        <v>0.021</v>
      </c>
      <c r="AJ3" s="0" t="n">
        <v>0.057</v>
      </c>
      <c r="AK3" s="0" t="n">
        <v>0.206</v>
      </c>
      <c r="AL3" s="0" t="n">
        <v>0.22</v>
      </c>
    </row>
    <row r="4" customFormat="false" ht="15" hidden="false" customHeight="false" outlineLevel="0" collapsed="false">
      <c r="A4" s="0" t="n">
        <v>3</v>
      </c>
      <c r="B4" s="0" t="s">
        <v>42</v>
      </c>
      <c r="C4" s="0" t="s">
        <v>39</v>
      </c>
      <c r="D4" s="0" t="n">
        <v>124.25</v>
      </c>
      <c r="E4" s="0" t="n">
        <v>59.92</v>
      </c>
      <c r="F4" s="0" t="n">
        <v>7.06</v>
      </c>
      <c r="G4" s="0" t="n">
        <v>2.1</v>
      </c>
      <c r="H4" s="0" t="n">
        <v>7.03</v>
      </c>
      <c r="I4" s="0" t="n">
        <v>4.85</v>
      </c>
      <c r="J4" s="0" t="n">
        <v>4.08</v>
      </c>
      <c r="K4" s="0" t="n">
        <v>2.48</v>
      </c>
      <c r="L4" s="0" t="n">
        <v>1180</v>
      </c>
      <c r="M4" s="0" t="n">
        <v>1422</v>
      </c>
      <c r="N4" s="0" t="n">
        <v>25749</v>
      </c>
      <c r="O4" s="0" t="n">
        <v>23779</v>
      </c>
      <c r="P4" s="0" t="n">
        <v>191</v>
      </c>
      <c r="Q4" s="0" t="n">
        <v>102</v>
      </c>
      <c r="R4" s="0" t="n">
        <v>61</v>
      </c>
      <c r="S4" s="0" t="n">
        <v>1809</v>
      </c>
      <c r="T4" s="0" t="n">
        <v>0.3</v>
      </c>
      <c r="U4" s="0" t="n">
        <v>176.75</v>
      </c>
      <c r="V4" s="0" t="n">
        <v>5</v>
      </c>
      <c r="W4" s="0" t="n">
        <v>305</v>
      </c>
      <c r="X4" s="0" t="n">
        <f aca="false"> 12*22*15</f>
        <v>3960</v>
      </c>
      <c r="Y4" s="0" t="n">
        <v>3.9</v>
      </c>
      <c r="Z4" s="0" t="n">
        <v>419</v>
      </c>
      <c r="AA4" s="0" t="n">
        <v>95</v>
      </c>
      <c r="AB4" s="0" t="n">
        <v>73754</v>
      </c>
      <c r="AC4" s="0" t="n">
        <v>84459</v>
      </c>
      <c r="AD4" s="0" t="n">
        <v>17</v>
      </c>
      <c r="AE4" s="0" t="n">
        <v>38</v>
      </c>
      <c r="AF4" s="0" t="n">
        <v>307</v>
      </c>
      <c r="AG4" s="0" t="n">
        <v>0.199</v>
      </c>
      <c r="AH4" s="0" t="n">
        <v>0.044</v>
      </c>
      <c r="AI4" s="0" t="n">
        <v>0.006</v>
      </c>
      <c r="AJ4" s="0" t="n">
        <v>0.016</v>
      </c>
      <c r="AK4" s="0" t="n">
        <v>0.181</v>
      </c>
      <c r="AL4" s="0" t="n">
        <v>0.45</v>
      </c>
    </row>
    <row r="5" customFormat="false" ht="15" hidden="false" customHeight="false" outlineLevel="0" collapsed="false">
      <c r="A5" s="0" t="n">
        <v>4</v>
      </c>
      <c r="B5" s="0" t="s">
        <v>43</v>
      </c>
      <c r="C5" s="0" t="s">
        <v>44</v>
      </c>
      <c r="D5" s="0" t="n">
        <v>127.59</v>
      </c>
      <c r="E5" s="0" t="n">
        <v>19.31</v>
      </c>
      <c r="F5" s="0" t="n">
        <v>5.23</v>
      </c>
      <c r="G5" s="0" t="n">
        <v>1.01</v>
      </c>
      <c r="H5" s="0" t="n">
        <v>3.64</v>
      </c>
      <c r="I5" s="0" t="n">
        <v>3.62</v>
      </c>
      <c r="J5" s="0" t="n">
        <v>2.58</v>
      </c>
      <c r="K5" s="0" t="n">
        <v>20.81</v>
      </c>
      <c r="L5" s="0" t="n">
        <v>173</v>
      </c>
      <c r="M5" s="0" t="n">
        <v>1455</v>
      </c>
      <c r="N5" s="0" t="n">
        <v>12915</v>
      </c>
      <c r="O5" s="0" t="n">
        <v>43794</v>
      </c>
      <c r="P5" s="0" t="n">
        <v>496</v>
      </c>
      <c r="Q5" s="0" t="n">
        <v>46</v>
      </c>
      <c r="R5" s="0" t="n">
        <v>59</v>
      </c>
      <c r="S5" s="0" t="n">
        <v>1168</v>
      </c>
      <c r="T5" s="0" t="n">
        <v>0.54</v>
      </c>
      <c r="U5" s="0" t="n">
        <v>166.3</v>
      </c>
      <c r="V5" s="0" t="n">
        <v>27</v>
      </c>
      <c r="W5" s="0" t="n">
        <v>1347</v>
      </c>
      <c r="X5" s="0" t="n">
        <f aca="false"> 26*27*3</f>
        <v>2106</v>
      </c>
      <c r="Y5" s="0" t="n">
        <v>2.7</v>
      </c>
      <c r="Z5" s="0" t="n">
        <v>186</v>
      </c>
      <c r="AA5" s="0" t="n">
        <v>75</v>
      </c>
      <c r="AB5" s="0" t="n">
        <v>11350</v>
      </c>
      <c r="AC5" s="0" t="n">
        <v>33840</v>
      </c>
      <c r="AD5" s="0" t="n">
        <v>65</v>
      </c>
      <c r="AE5" s="0" t="n">
        <v>15</v>
      </c>
      <c r="AF5" s="0" t="n">
        <v>103</v>
      </c>
      <c r="AG5" s="0" t="n">
        <v>0.117</v>
      </c>
      <c r="AH5" s="0" t="n">
        <v>0.067</v>
      </c>
      <c r="AI5" s="0" t="n">
        <v>0.011</v>
      </c>
      <c r="AJ5" s="0" t="n">
        <v>0.03</v>
      </c>
      <c r="AK5" s="0" t="n">
        <v>0.13</v>
      </c>
      <c r="AL5" s="0" t="n">
        <v>0.37</v>
      </c>
    </row>
    <row r="6" customFormat="false" ht="15" hidden="false" customHeight="false" outlineLevel="0" collapsed="false">
      <c r="A6" s="0" t="n">
        <v>5</v>
      </c>
      <c r="B6" s="0" t="s">
        <v>45</v>
      </c>
      <c r="C6" s="0" t="s">
        <v>46</v>
      </c>
      <c r="D6" s="0" t="n">
        <v>47.96</v>
      </c>
      <c r="E6" s="0" t="n">
        <v>67.03</v>
      </c>
      <c r="F6" s="0" t="n">
        <v>6.52</v>
      </c>
      <c r="G6" s="0" t="n">
        <v>1.28</v>
      </c>
      <c r="H6" s="0" t="n">
        <v>18.62</v>
      </c>
      <c r="I6" s="0" t="n">
        <v>3.58</v>
      </c>
      <c r="J6" s="0" t="n">
        <v>4.97</v>
      </c>
      <c r="K6" s="0" t="n">
        <v>10.71</v>
      </c>
      <c r="L6" s="0" t="n">
        <v>1296</v>
      </c>
      <c r="M6" s="0" t="n">
        <v>1160</v>
      </c>
      <c r="N6" s="0" t="n">
        <v>44002</v>
      </c>
      <c r="O6" s="0" t="n">
        <v>22792</v>
      </c>
      <c r="P6" s="0" t="n">
        <v>455</v>
      </c>
      <c r="Q6" s="0" t="n">
        <v>400</v>
      </c>
      <c r="R6" s="0" t="n">
        <v>94</v>
      </c>
      <c r="S6" s="0" t="n">
        <v>6863</v>
      </c>
      <c r="T6" s="0" t="n">
        <v>0.24</v>
      </c>
      <c r="U6" s="0" t="n">
        <v>179.63</v>
      </c>
      <c r="V6" s="0" t="n">
        <v>6</v>
      </c>
      <c r="W6" s="0" t="n">
        <v>544</v>
      </c>
      <c r="X6" s="0" t="n">
        <f aca="false"> 52*20*31</f>
        <v>32240</v>
      </c>
      <c r="Y6" s="0" t="n">
        <v>3.8</v>
      </c>
      <c r="Z6" s="0" t="n">
        <v>869</v>
      </c>
      <c r="AA6" s="0" t="n">
        <v>75</v>
      </c>
      <c r="AB6" s="0" t="n">
        <v>54996</v>
      </c>
      <c r="AC6" s="0" t="n">
        <v>67646</v>
      </c>
      <c r="AD6" s="0" t="n">
        <v>19</v>
      </c>
      <c r="AE6" s="0" t="n">
        <v>54</v>
      </c>
      <c r="AF6" s="0" t="n">
        <v>325</v>
      </c>
      <c r="AG6" s="0" t="n">
        <v>0.042</v>
      </c>
      <c r="AH6" s="0" t="n">
        <v>0.012</v>
      </c>
      <c r="AI6" s="0" t="n">
        <v>0.024</v>
      </c>
      <c r="AJ6" s="0" t="n">
        <v>0.051</v>
      </c>
      <c r="AK6" s="0" t="n">
        <v>0.038</v>
      </c>
      <c r="AL6" s="0" t="n">
        <v>0.33</v>
      </c>
    </row>
    <row r="7" customFormat="false" ht="15" hidden="false" customHeight="false" outlineLevel="0" collapsed="false">
      <c r="A7" s="0" t="n">
        <v>6</v>
      </c>
      <c r="B7" s="0" t="s">
        <v>47</v>
      </c>
      <c r="C7" s="0" t="s">
        <v>48</v>
      </c>
      <c r="D7" s="0" t="n">
        <v>109.48</v>
      </c>
      <c r="E7" s="0" t="n">
        <v>22.97</v>
      </c>
      <c r="F7" s="0" t="n">
        <v>10.11</v>
      </c>
      <c r="G7" s="0" t="n">
        <v>2.12</v>
      </c>
      <c r="H7" s="0" t="n">
        <v>13.12</v>
      </c>
      <c r="I7" s="0" t="n">
        <v>5.05</v>
      </c>
      <c r="J7" s="0" t="n">
        <v>3.24</v>
      </c>
      <c r="K7" s="0" t="n">
        <v>10.27</v>
      </c>
      <c r="L7" s="0" t="n">
        <v>194</v>
      </c>
      <c r="M7" s="0" t="n">
        <v>615</v>
      </c>
      <c r="N7" s="0" t="n">
        <v>26125</v>
      </c>
      <c r="O7" s="0" t="n">
        <v>7279</v>
      </c>
      <c r="P7" s="0" t="n">
        <v>258</v>
      </c>
      <c r="Q7" s="0" t="n">
        <v>438</v>
      </c>
      <c r="R7" s="0" t="n">
        <v>72</v>
      </c>
      <c r="S7" s="0" t="n">
        <v>5239</v>
      </c>
      <c r="T7" s="0" t="n">
        <v>0.56</v>
      </c>
      <c r="U7" s="0" t="n">
        <v>169.11</v>
      </c>
      <c r="V7" s="0" t="n">
        <v>30</v>
      </c>
      <c r="W7" s="0" t="n">
        <v>580</v>
      </c>
      <c r="X7" s="0" t="n">
        <f aca="false"> 40*23*25</f>
        <v>23000</v>
      </c>
      <c r="Y7" s="0" t="n">
        <v>4.5</v>
      </c>
      <c r="Z7" s="0" t="n">
        <v>909</v>
      </c>
      <c r="AA7" s="0" t="n">
        <v>86</v>
      </c>
      <c r="AB7" s="0" t="n">
        <v>96784</v>
      </c>
      <c r="AC7" s="0" t="n">
        <v>189787</v>
      </c>
      <c r="AD7" s="0" t="n">
        <v>36</v>
      </c>
      <c r="AE7" s="0" t="n">
        <v>10</v>
      </c>
      <c r="AF7" s="0" t="n">
        <v>205</v>
      </c>
      <c r="AG7" s="0" t="n">
        <v>0.06</v>
      </c>
      <c r="AH7" s="0" t="n">
        <v>0.057</v>
      </c>
      <c r="AI7" s="0" t="n">
        <v>0.03</v>
      </c>
      <c r="AJ7" s="0" t="n">
        <v>0.074</v>
      </c>
      <c r="AK7" s="0" t="n">
        <v>0.066</v>
      </c>
      <c r="AL7" s="0" t="n">
        <v>0.53</v>
      </c>
    </row>
    <row r="8" customFormat="false" ht="15" hidden="false" customHeight="false" outlineLevel="0" collapsed="false">
      <c r="A8" s="0" t="n">
        <v>7</v>
      </c>
      <c r="B8" s="0" t="s">
        <v>49</v>
      </c>
      <c r="C8" s="0" t="s">
        <v>50</v>
      </c>
      <c r="D8" s="0" t="n">
        <v>122.26</v>
      </c>
      <c r="E8" s="0" t="n">
        <v>61.16</v>
      </c>
      <c r="F8" s="0" t="n">
        <v>5.32</v>
      </c>
      <c r="G8" s="0" t="n">
        <v>0.63</v>
      </c>
      <c r="H8" s="0" t="n">
        <v>13.56</v>
      </c>
      <c r="I8" s="0" t="n">
        <v>1.7</v>
      </c>
      <c r="J8" s="0" t="n">
        <v>0.65</v>
      </c>
      <c r="K8" s="0" t="n">
        <v>19.82</v>
      </c>
      <c r="L8" s="0" t="n">
        <v>709</v>
      </c>
      <c r="M8" s="0" t="n">
        <v>433</v>
      </c>
      <c r="N8" s="0" t="n">
        <v>39660</v>
      </c>
      <c r="O8" s="0" t="n">
        <v>30708</v>
      </c>
      <c r="P8" s="0" t="n">
        <v>490</v>
      </c>
      <c r="Q8" s="0" t="n">
        <v>261</v>
      </c>
      <c r="R8" s="0" t="n">
        <v>18</v>
      </c>
      <c r="S8" s="0" t="n">
        <v>4712</v>
      </c>
      <c r="T8" s="0" t="n">
        <v>0.39</v>
      </c>
      <c r="U8" s="0" t="n">
        <v>98.82</v>
      </c>
      <c r="V8" s="0" t="n">
        <v>16</v>
      </c>
      <c r="W8" s="0" t="n">
        <v>2347</v>
      </c>
      <c r="X8" s="0" t="n">
        <f aca="false"> 45*11*40</f>
        <v>19800</v>
      </c>
      <c r="Y8" s="0" t="n">
        <v>4.5</v>
      </c>
      <c r="Z8" s="0" t="n">
        <v>440</v>
      </c>
      <c r="AA8" s="0" t="n">
        <v>76</v>
      </c>
      <c r="AB8" s="0" t="n">
        <v>47002</v>
      </c>
      <c r="AC8" s="0" t="n">
        <v>158047</v>
      </c>
      <c r="AD8" s="0" t="n">
        <v>34</v>
      </c>
      <c r="AE8" s="0" t="n">
        <v>65</v>
      </c>
      <c r="AF8" s="0" t="n">
        <v>95</v>
      </c>
      <c r="AG8" s="0" t="n">
        <v>0.046</v>
      </c>
      <c r="AH8" s="0" t="n">
        <v>0.025</v>
      </c>
      <c r="AI8" s="0" t="n">
        <v>0.023</v>
      </c>
      <c r="AJ8" s="0" t="n">
        <v>0.042</v>
      </c>
      <c r="AK8" s="0" t="n">
        <v>0.172</v>
      </c>
      <c r="AL8" s="0" t="n">
        <v>0.44</v>
      </c>
    </row>
    <row r="9" customFormat="false" ht="15" hidden="false" customHeight="false" outlineLevel="0" collapsed="false">
      <c r="A9" s="0" t="n">
        <v>8</v>
      </c>
      <c r="B9" s="0" t="s">
        <v>51</v>
      </c>
      <c r="C9" s="0" t="s">
        <v>41</v>
      </c>
      <c r="D9" s="0" t="n">
        <v>49.15</v>
      </c>
      <c r="E9" s="0" t="n">
        <v>33.34</v>
      </c>
      <c r="F9" s="0" t="n">
        <v>9.39</v>
      </c>
      <c r="G9" s="0" t="n">
        <v>2.22</v>
      </c>
      <c r="H9" s="0" t="n">
        <v>19.95</v>
      </c>
      <c r="I9" s="0" t="n">
        <v>1.05</v>
      </c>
      <c r="J9" s="0" t="n">
        <v>1.77</v>
      </c>
      <c r="K9" s="0" t="n">
        <v>15.4</v>
      </c>
      <c r="L9" s="0" t="n">
        <v>1162</v>
      </c>
      <c r="M9" s="0" t="n">
        <v>1402</v>
      </c>
      <c r="N9" s="0" t="n">
        <v>4120</v>
      </c>
      <c r="O9" s="0" t="n">
        <v>35034</v>
      </c>
      <c r="P9" s="0" t="n">
        <v>130</v>
      </c>
      <c r="Q9" s="0" t="n">
        <v>23</v>
      </c>
      <c r="R9" s="0" t="n">
        <v>3</v>
      </c>
      <c r="S9" s="0" t="n">
        <v>5602</v>
      </c>
      <c r="T9" s="0" t="n">
        <v>0.34</v>
      </c>
      <c r="U9" s="0" t="n">
        <v>28.39</v>
      </c>
      <c r="V9" s="0" t="n">
        <v>20</v>
      </c>
      <c r="W9" s="0" t="n">
        <v>2402</v>
      </c>
      <c r="X9" s="0" t="n">
        <f aca="false"> 30*55*14</f>
        <v>23100</v>
      </c>
      <c r="Y9" s="0" t="n">
        <v>3.1</v>
      </c>
      <c r="Z9" s="0" t="n">
        <v>420</v>
      </c>
      <c r="AA9" s="0" t="n">
        <v>89</v>
      </c>
      <c r="AB9" s="0" t="n">
        <v>56769</v>
      </c>
      <c r="AC9" s="0" t="n">
        <v>85161</v>
      </c>
      <c r="AD9" s="0" t="n">
        <v>24</v>
      </c>
      <c r="AE9" s="0" t="n">
        <v>60</v>
      </c>
      <c r="AF9" s="0" t="n">
        <v>25</v>
      </c>
      <c r="AG9" s="0" t="n">
        <v>0.057</v>
      </c>
      <c r="AH9" s="0" t="n">
        <v>0.056</v>
      </c>
      <c r="AI9" s="0" t="n">
        <v>0.012</v>
      </c>
      <c r="AJ9" s="0" t="n">
        <v>0.091</v>
      </c>
      <c r="AK9" s="0" t="n">
        <v>0.236</v>
      </c>
      <c r="AL9" s="0" t="n">
        <v>0.37</v>
      </c>
    </row>
    <row r="10" customFormat="false" ht="15" hidden="false" customHeight="false" outlineLevel="0" collapsed="false">
      <c r="A10" s="0" t="n">
        <v>9</v>
      </c>
      <c r="B10" s="0" t="s">
        <v>52</v>
      </c>
      <c r="C10" s="0" t="s">
        <v>53</v>
      </c>
      <c r="D10" s="0" t="n">
        <v>83.46</v>
      </c>
      <c r="E10" s="0" t="n">
        <v>9.36</v>
      </c>
      <c r="F10" s="0" t="n">
        <v>6.84</v>
      </c>
      <c r="G10" s="0" t="n">
        <v>0.49</v>
      </c>
      <c r="H10" s="0" t="n">
        <v>9.57</v>
      </c>
      <c r="I10" s="0" t="n">
        <v>6.93</v>
      </c>
      <c r="J10" s="0" t="n">
        <v>4.49</v>
      </c>
      <c r="K10" s="0" t="n">
        <v>16.05</v>
      </c>
      <c r="L10" s="0" t="n">
        <v>181</v>
      </c>
      <c r="M10" s="0" t="n">
        <v>552</v>
      </c>
      <c r="N10" s="0" t="n">
        <v>26813</v>
      </c>
      <c r="O10" s="0" t="n">
        <v>9392</v>
      </c>
      <c r="P10" s="0" t="n">
        <v>255</v>
      </c>
      <c r="Q10" s="0" t="n">
        <v>73</v>
      </c>
      <c r="R10" s="0" t="n">
        <v>87</v>
      </c>
      <c r="S10" s="0" t="n">
        <v>3321</v>
      </c>
      <c r="T10" s="0" t="n">
        <v>0.44</v>
      </c>
      <c r="U10" s="0" t="n">
        <v>174.09</v>
      </c>
      <c r="V10" s="0" t="n">
        <v>21</v>
      </c>
      <c r="W10" s="0" t="n">
        <v>2446</v>
      </c>
      <c r="X10" s="0" t="n">
        <f aca="false"> 13*28*14</f>
        <v>5096</v>
      </c>
      <c r="Y10" s="0" t="n">
        <v>4.6</v>
      </c>
      <c r="Z10" s="0" t="n">
        <v>585</v>
      </c>
      <c r="AA10" s="0" t="n">
        <v>75</v>
      </c>
      <c r="AB10" s="0" t="n">
        <v>16571</v>
      </c>
      <c r="AC10" s="0" t="n">
        <v>149673</v>
      </c>
      <c r="AD10" s="0" t="n">
        <v>49</v>
      </c>
      <c r="AE10" s="0" t="n">
        <v>16</v>
      </c>
      <c r="AF10" s="0" t="n">
        <v>329</v>
      </c>
      <c r="AG10" s="0" t="n">
        <v>0.103</v>
      </c>
      <c r="AH10" s="0" t="n">
        <v>0.015</v>
      </c>
      <c r="AI10" s="0" t="n">
        <v>0.009</v>
      </c>
      <c r="AJ10" s="0" t="n">
        <v>0.017</v>
      </c>
      <c r="AK10" s="0" t="n">
        <v>0.247</v>
      </c>
      <c r="AL10" s="0" t="n">
        <v>0.25</v>
      </c>
    </row>
    <row r="11" customFormat="false" ht="15" hidden="false" customHeight="false" outlineLevel="0" collapsed="false">
      <c r="A11" s="0" t="n">
        <v>10</v>
      </c>
      <c r="B11" s="0" t="s">
        <v>54</v>
      </c>
      <c r="C11" s="0" t="s">
        <v>48</v>
      </c>
      <c r="D11" s="0" t="n">
        <v>79.37</v>
      </c>
      <c r="E11" s="0" t="n">
        <v>46.98</v>
      </c>
      <c r="F11" s="0" t="n">
        <v>7.49</v>
      </c>
      <c r="G11" s="0" t="n">
        <v>2.37</v>
      </c>
      <c r="H11" s="0" t="n">
        <v>9.16</v>
      </c>
      <c r="I11" s="0" t="n">
        <v>8</v>
      </c>
      <c r="J11" s="0" t="n">
        <v>2.25</v>
      </c>
      <c r="K11" s="0" t="n">
        <v>19.53</v>
      </c>
      <c r="L11" s="0" t="n">
        <v>1975</v>
      </c>
      <c r="M11" s="0" t="n">
        <v>691</v>
      </c>
      <c r="N11" s="0" t="n">
        <v>29732</v>
      </c>
      <c r="O11" s="0" t="n">
        <v>22089</v>
      </c>
      <c r="P11" s="0" t="n">
        <v>262</v>
      </c>
      <c r="Q11" s="0" t="n">
        <v>63</v>
      </c>
      <c r="R11" s="0" t="n">
        <v>21</v>
      </c>
      <c r="S11" s="0" t="n">
        <v>4519</v>
      </c>
      <c r="T11" s="0" t="n">
        <v>0.15</v>
      </c>
      <c r="U11" s="0" t="n">
        <v>127.19</v>
      </c>
      <c r="V11" s="0" t="n">
        <v>20</v>
      </c>
      <c r="W11" s="0" t="n">
        <v>2332</v>
      </c>
      <c r="X11" s="0" t="n">
        <f aca="false"> 8*40*27</f>
        <v>8640</v>
      </c>
      <c r="Y11" s="0" t="n">
        <v>3.3</v>
      </c>
      <c r="Z11" s="0" t="n">
        <v>461</v>
      </c>
      <c r="AA11" s="0" t="n">
        <v>84</v>
      </c>
      <c r="AB11" s="0" t="n">
        <v>67341</v>
      </c>
      <c r="AC11" s="0" t="n">
        <v>180175</v>
      </c>
      <c r="AD11" s="0" t="n">
        <v>16</v>
      </c>
      <c r="AE11" s="0" t="n">
        <v>75</v>
      </c>
      <c r="AF11" s="0" t="n">
        <v>80</v>
      </c>
      <c r="AG11" s="0" t="n">
        <v>0.104</v>
      </c>
      <c r="AH11" s="0" t="n">
        <v>0.076</v>
      </c>
      <c r="AI11" s="0" t="n">
        <v>0.029</v>
      </c>
      <c r="AJ11" s="0" t="n">
        <v>0.055</v>
      </c>
      <c r="AK11" s="0" t="n">
        <v>0.126</v>
      </c>
      <c r="AL11" s="0" t="n">
        <v>0.37</v>
      </c>
    </row>
    <row r="12" customFormat="false" ht="15" hidden="false" customHeight="false" outlineLevel="0" collapsed="false">
      <c r="A12" s="0" t="n">
        <v>11</v>
      </c>
      <c r="B12" s="0" t="s">
        <v>55</v>
      </c>
      <c r="C12" s="0" t="s">
        <v>44</v>
      </c>
      <c r="D12" s="0" t="n">
        <v>79.73</v>
      </c>
      <c r="E12" s="0" t="n">
        <v>60.2</v>
      </c>
      <c r="F12" s="0" t="n">
        <v>4.5</v>
      </c>
      <c r="G12" s="0" t="n">
        <v>2.72</v>
      </c>
      <c r="H12" s="0" t="n">
        <v>10.51</v>
      </c>
      <c r="I12" s="0" t="n">
        <v>8.9</v>
      </c>
      <c r="J12" s="0" t="n">
        <v>1.64</v>
      </c>
      <c r="K12" s="0" t="n">
        <v>1.7</v>
      </c>
      <c r="L12" s="0" t="n">
        <v>1344</v>
      </c>
      <c r="M12" s="0" t="n">
        <v>1123</v>
      </c>
      <c r="N12" s="0" t="n">
        <v>29613</v>
      </c>
      <c r="O12" s="0" t="n">
        <v>18776</v>
      </c>
      <c r="P12" s="0" t="n">
        <v>396</v>
      </c>
      <c r="Q12" s="0" t="n">
        <v>257</v>
      </c>
      <c r="R12" s="0" t="n">
        <v>48</v>
      </c>
      <c r="S12" s="0" t="n">
        <v>3282</v>
      </c>
      <c r="T12" s="0" t="n">
        <v>0.46</v>
      </c>
      <c r="U12" s="0" t="n">
        <v>102.27</v>
      </c>
      <c r="V12" s="0" t="n">
        <v>8</v>
      </c>
      <c r="W12" s="0" t="n">
        <v>560</v>
      </c>
      <c r="X12" s="0" t="n">
        <f aca="false"> 49*24*19</f>
        <v>22344</v>
      </c>
      <c r="Y12" s="0" t="n">
        <v>4.9</v>
      </c>
      <c r="Z12" s="0" t="n">
        <v>916</v>
      </c>
      <c r="AA12" s="0" t="n">
        <v>77</v>
      </c>
      <c r="AB12" s="0" t="n">
        <v>32490</v>
      </c>
      <c r="AC12" s="0" t="n">
        <v>177525</v>
      </c>
      <c r="AD12" s="0" t="n">
        <v>90</v>
      </c>
      <c r="AE12" s="0" t="n">
        <v>94</v>
      </c>
      <c r="AF12" s="0" t="n">
        <v>334</v>
      </c>
      <c r="AG12" s="0" t="n">
        <v>0.138</v>
      </c>
      <c r="AH12" s="0" t="n">
        <v>0.041</v>
      </c>
      <c r="AI12" s="0" t="n">
        <v>0.022</v>
      </c>
      <c r="AJ12" s="0" t="n">
        <v>0.085</v>
      </c>
      <c r="AK12" s="0" t="n">
        <v>0.219</v>
      </c>
      <c r="AL12" s="0" t="n">
        <v>0.21</v>
      </c>
    </row>
    <row r="13" customFormat="false" ht="15" hidden="false" customHeight="false" outlineLevel="0" collapsed="false">
      <c r="A13" s="0" t="n">
        <v>12</v>
      </c>
      <c r="B13" s="0" t="s">
        <v>56</v>
      </c>
      <c r="C13" s="0" t="s">
        <v>44</v>
      </c>
      <c r="D13" s="0" t="n">
        <v>79.38</v>
      </c>
      <c r="E13" s="0" t="n">
        <v>55.88</v>
      </c>
      <c r="F13" s="0" t="n">
        <v>4.25</v>
      </c>
      <c r="G13" s="0" t="n">
        <v>1.27</v>
      </c>
      <c r="H13" s="0" t="n">
        <v>7.78</v>
      </c>
      <c r="I13" s="0" t="n">
        <v>1.62</v>
      </c>
      <c r="J13" s="0" t="n">
        <v>2.58</v>
      </c>
      <c r="K13" s="0" t="n">
        <v>15.09</v>
      </c>
      <c r="L13" s="0" t="n">
        <v>1916</v>
      </c>
      <c r="M13" s="0" t="n">
        <v>180</v>
      </c>
      <c r="N13" s="0" t="n">
        <v>31108</v>
      </c>
      <c r="O13" s="0" t="n">
        <v>31814</v>
      </c>
      <c r="P13" s="0" t="n">
        <v>396</v>
      </c>
      <c r="Q13" s="0" t="n">
        <v>172</v>
      </c>
      <c r="R13" s="0" t="n">
        <v>15</v>
      </c>
      <c r="S13" s="0" t="n">
        <v>904</v>
      </c>
      <c r="T13" s="0" t="n">
        <v>0.6</v>
      </c>
      <c r="U13" s="0" t="n">
        <v>18.11</v>
      </c>
      <c r="V13" s="0" t="n">
        <v>27</v>
      </c>
      <c r="W13" s="0" t="n">
        <v>1723</v>
      </c>
      <c r="X13" s="0" t="n">
        <f aca="false"> 13*60*12</f>
        <v>9360</v>
      </c>
      <c r="Y13" s="0" t="n">
        <v>3.6</v>
      </c>
      <c r="Z13" s="0" t="n">
        <v>767</v>
      </c>
      <c r="AA13" s="0" t="n">
        <v>74</v>
      </c>
      <c r="AB13" s="0" t="n">
        <v>67329</v>
      </c>
      <c r="AC13" s="0" t="n">
        <v>169462</v>
      </c>
      <c r="AD13" s="0" t="n">
        <v>69</v>
      </c>
      <c r="AE13" s="0" t="n">
        <v>3</v>
      </c>
      <c r="AF13" s="0" t="n">
        <v>439</v>
      </c>
      <c r="AG13" s="0" t="n">
        <v>0.152</v>
      </c>
      <c r="AH13" s="0" t="n">
        <v>0.013</v>
      </c>
      <c r="AI13" s="0" t="n">
        <v>0.01</v>
      </c>
      <c r="AJ13" s="0" t="n">
        <v>0.026</v>
      </c>
      <c r="AK13" s="0" t="n">
        <v>0.077</v>
      </c>
      <c r="AL13" s="0" t="n">
        <v>0.38</v>
      </c>
    </row>
    <row r="14" customFormat="false" ht="15" hidden="false" customHeight="false" outlineLevel="0" collapsed="false">
      <c r="A14" s="0" t="n">
        <v>13</v>
      </c>
      <c r="B14" s="0" t="s">
        <v>57</v>
      </c>
      <c r="C14" s="0" t="s">
        <v>48</v>
      </c>
      <c r="D14" s="0" t="n">
        <v>143.2</v>
      </c>
      <c r="E14" s="0" t="n">
        <v>69.56</v>
      </c>
      <c r="F14" s="0" t="n">
        <v>1.54</v>
      </c>
      <c r="G14" s="0" t="n">
        <v>1.65</v>
      </c>
      <c r="H14" s="0" t="n">
        <v>8.65</v>
      </c>
      <c r="I14" s="0" t="n">
        <v>7.92</v>
      </c>
      <c r="J14" s="0" t="n">
        <v>3.05</v>
      </c>
      <c r="K14" s="0" t="n">
        <v>19.69</v>
      </c>
      <c r="L14" s="0" t="n">
        <v>943</v>
      </c>
      <c r="M14" s="0" t="n">
        <v>293</v>
      </c>
      <c r="N14" s="0" t="n">
        <v>43031</v>
      </c>
      <c r="O14" s="0" t="n">
        <v>18415</v>
      </c>
      <c r="P14" s="0" t="n">
        <v>353</v>
      </c>
      <c r="Q14" s="0" t="n">
        <v>279</v>
      </c>
      <c r="R14" s="0" t="n">
        <v>68</v>
      </c>
      <c r="S14" s="0" t="n">
        <v>482</v>
      </c>
      <c r="T14" s="0" t="n">
        <v>0.24</v>
      </c>
      <c r="U14" s="0" t="n">
        <v>77.43</v>
      </c>
      <c r="V14" s="0" t="n">
        <v>8</v>
      </c>
      <c r="W14" s="0" t="n">
        <v>220</v>
      </c>
      <c r="X14" s="0" t="n">
        <f aca="false"> 34*27*4</f>
        <v>3672</v>
      </c>
      <c r="Y14" s="0" t="n">
        <v>3.5</v>
      </c>
      <c r="Z14" s="0" t="n">
        <v>317</v>
      </c>
      <c r="AA14" s="0" t="n">
        <v>88</v>
      </c>
      <c r="AB14" s="0" t="n">
        <v>97822</v>
      </c>
      <c r="AC14" s="0" t="n">
        <v>76430</v>
      </c>
      <c r="AD14" s="0" t="n">
        <v>15</v>
      </c>
      <c r="AE14" s="0" t="n">
        <v>78</v>
      </c>
      <c r="AF14" s="0" t="n">
        <v>180</v>
      </c>
      <c r="AG14" s="0" t="n">
        <v>0.135</v>
      </c>
      <c r="AH14" s="0" t="n">
        <v>0.073</v>
      </c>
      <c r="AI14" s="0" t="n">
        <v>0.021</v>
      </c>
      <c r="AJ14" s="0" t="n">
        <v>0.035</v>
      </c>
      <c r="AK14" s="0" t="n">
        <v>0.294</v>
      </c>
      <c r="AL14" s="0" t="n">
        <v>0.24</v>
      </c>
    </row>
    <row r="15" customFormat="false" ht="15" hidden="false" customHeight="false" outlineLevel="0" collapsed="false">
      <c r="A15" s="0" t="n">
        <v>14</v>
      </c>
      <c r="B15" s="0" t="s">
        <v>58</v>
      </c>
      <c r="C15" s="0" t="s">
        <v>53</v>
      </c>
      <c r="D15" s="0" t="n">
        <v>91.35</v>
      </c>
      <c r="E15" s="0" t="n">
        <v>6.17</v>
      </c>
      <c r="F15" s="0" t="n">
        <v>5.18</v>
      </c>
      <c r="G15" s="0" t="n">
        <v>0.68</v>
      </c>
      <c r="H15" s="0" t="n">
        <v>6.23</v>
      </c>
      <c r="I15" s="0" t="n">
        <v>7.14</v>
      </c>
      <c r="J15" s="0" t="n">
        <v>2.29</v>
      </c>
      <c r="K15" s="0" t="n">
        <v>12.01</v>
      </c>
      <c r="L15" s="0" t="n">
        <v>1735</v>
      </c>
      <c r="M15" s="0" t="n">
        <v>1736</v>
      </c>
      <c r="N15" s="0" t="n">
        <v>33750</v>
      </c>
      <c r="O15" s="0" t="n">
        <v>39831</v>
      </c>
      <c r="P15" s="0" t="n">
        <v>97</v>
      </c>
      <c r="Q15" s="0" t="n">
        <v>54</v>
      </c>
      <c r="R15" s="0" t="n">
        <v>49</v>
      </c>
      <c r="S15" s="0" t="n">
        <v>6300</v>
      </c>
      <c r="T15" s="0" t="n">
        <v>0.46</v>
      </c>
      <c r="U15" s="0" t="n">
        <v>163.93</v>
      </c>
      <c r="V15" s="0" t="n">
        <v>8</v>
      </c>
      <c r="W15" s="0" t="n">
        <v>1875</v>
      </c>
      <c r="X15" s="0" t="n">
        <f aca="false"> 16*42*29</f>
        <v>19488</v>
      </c>
      <c r="Y15" s="0" t="n">
        <v>2.9</v>
      </c>
      <c r="Z15" s="0" t="n">
        <v>833</v>
      </c>
      <c r="AA15" s="0" t="n">
        <v>80</v>
      </c>
      <c r="AB15" s="0" t="n">
        <v>1808</v>
      </c>
      <c r="AC15" s="0" t="n">
        <v>1056</v>
      </c>
      <c r="AD15" s="0" t="n">
        <v>8</v>
      </c>
      <c r="AE15" s="0" t="n">
        <v>32</v>
      </c>
      <c r="AF15" s="0" t="n">
        <v>211</v>
      </c>
      <c r="AG15" s="0" t="n">
        <v>0.041</v>
      </c>
      <c r="AH15" s="0" t="n">
        <v>0.063</v>
      </c>
      <c r="AI15" s="0" t="n">
        <v>0.023</v>
      </c>
      <c r="AJ15" s="0" t="n">
        <v>0.071</v>
      </c>
      <c r="AK15" s="0" t="n">
        <v>0.195</v>
      </c>
      <c r="AL15" s="0" t="n">
        <v>0.53</v>
      </c>
    </row>
    <row r="16" customFormat="false" ht="15" hidden="false" customHeight="false" outlineLevel="0" collapsed="false">
      <c r="A16" s="0" t="n">
        <v>15</v>
      </c>
      <c r="B16" s="0" t="s">
        <v>59</v>
      </c>
      <c r="C16" s="0" t="s">
        <v>50</v>
      </c>
      <c r="D16" s="0" t="n">
        <v>32.58</v>
      </c>
      <c r="E16" s="0" t="n">
        <v>78.05</v>
      </c>
      <c r="F16" s="0" t="n">
        <v>9.29</v>
      </c>
      <c r="G16" s="0" t="n">
        <v>1.9</v>
      </c>
      <c r="H16" s="0" t="n">
        <v>6.62</v>
      </c>
      <c r="I16" s="0" t="n">
        <v>7.91</v>
      </c>
      <c r="J16" s="0" t="n">
        <v>2.17</v>
      </c>
      <c r="K16" s="0" t="n">
        <v>20.72</v>
      </c>
      <c r="L16" s="0" t="n">
        <v>516</v>
      </c>
      <c r="M16" s="0" t="n">
        <v>960</v>
      </c>
      <c r="N16" s="0" t="n">
        <v>20759</v>
      </c>
      <c r="O16" s="0" t="n">
        <v>36423</v>
      </c>
      <c r="P16" s="0" t="n">
        <v>116</v>
      </c>
      <c r="Q16" s="0" t="n">
        <v>305</v>
      </c>
      <c r="R16" s="0" t="n">
        <v>87</v>
      </c>
      <c r="S16" s="0" t="n">
        <v>96</v>
      </c>
      <c r="T16" s="0" t="n">
        <v>0.61</v>
      </c>
      <c r="U16" s="0" t="n">
        <v>138.55</v>
      </c>
      <c r="V16" s="0" t="n">
        <v>13</v>
      </c>
      <c r="W16" s="0" t="n">
        <v>811</v>
      </c>
      <c r="X16" s="0" t="n">
        <f aca="false"> 50*32*34</f>
        <v>54400</v>
      </c>
      <c r="Y16" s="0" t="n">
        <v>3.2</v>
      </c>
      <c r="Z16" s="0" t="n">
        <v>491</v>
      </c>
      <c r="AA16" s="0" t="n">
        <v>72</v>
      </c>
      <c r="AB16" s="0" t="n">
        <v>92679</v>
      </c>
      <c r="AC16" s="0" t="n">
        <v>126227</v>
      </c>
      <c r="AD16" s="0" t="n">
        <v>24</v>
      </c>
      <c r="AE16" s="0" t="n">
        <v>64</v>
      </c>
      <c r="AF16" s="0" t="n">
        <v>399</v>
      </c>
      <c r="AG16" s="0" t="n">
        <v>0.109</v>
      </c>
      <c r="AH16" s="0" t="n">
        <v>0.029</v>
      </c>
      <c r="AI16" s="0" t="n">
        <v>0.018</v>
      </c>
      <c r="AJ16" s="0" t="n">
        <v>0.081</v>
      </c>
      <c r="AK16" s="0" t="n">
        <v>0.038</v>
      </c>
      <c r="AL16" s="0" t="n">
        <v>0.2</v>
      </c>
    </row>
    <row r="17" customFormat="false" ht="15" hidden="false" customHeight="false" outlineLevel="0" collapsed="false">
      <c r="A17" s="0" t="n">
        <v>16</v>
      </c>
      <c r="B17" s="0" t="s">
        <v>60</v>
      </c>
      <c r="C17" s="0" t="s">
        <v>41</v>
      </c>
      <c r="D17" s="0" t="n">
        <v>70.73</v>
      </c>
      <c r="E17" s="0" t="n">
        <v>5.73</v>
      </c>
      <c r="F17" s="0" t="n">
        <v>6.83</v>
      </c>
      <c r="G17" s="0" t="n">
        <v>0.85</v>
      </c>
      <c r="H17" s="0" t="n">
        <v>3.32</v>
      </c>
      <c r="I17" s="0" t="n">
        <v>8.32</v>
      </c>
      <c r="J17" s="0" t="n">
        <v>2.07</v>
      </c>
      <c r="K17" s="0" t="n">
        <v>6.1</v>
      </c>
      <c r="L17" s="0" t="n">
        <v>688</v>
      </c>
      <c r="M17" s="0" t="n">
        <v>1116</v>
      </c>
      <c r="N17" s="0" t="n">
        <v>45598</v>
      </c>
      <c r="O17" s="0" t="n">
        <v>25777</v>
      </c>
      <c r="P17" s="0" t="n">
        <v>349</v>
      </c>
      <c r="Q17" s="0" t="n">
        <v>436</v>
      </c>
      <c r="R17" s="0" t="n">
        <v>40</v>
      </c>
      <c r="S17" s="0" t="n">
        <v>2974</v>
      </c>
      <c r="T17" s="0" t="n">
        <v>0.12</v>
      </c>
      <c r="U17" s="0" t="n">
        <v>63.63</v>
      </c>
      <c r="V17" s="0" t="n">
        <v>15</v>
      </c>
      <c r="W17" s="0" t="n">
        <v>2415</v>
      </c>
      <c r="X17" s="0" t="n">
        <f aca="false"> 55*22*18</f>
        <v>21780</v>
      </c>
      <c r="Y17" s="0" t="n">
        <v>5</v>
      </c>
      <c r="Z17" s="0" t="n">
        <v>150</v>
      </c>
      <c r="AA17" s="0" t="n">
        <v>86</v>
      </c>
      <c r="AB17" s="0" t="n">
        <v>71643</v>
      </c>
      <c r="AC17" s="0" t="n">
        <v>177592</v>
      </c>
      <c r="AD17" s="0" t="n">
        <v>72</v>
      </c>
      <c r="AE17" s="0" t="n">
        <v>75</v>
      </c>
      <c r="AF17" s="0" t="n">
        <v>397</v>
      </c>
      <c r="AG17" s="0" t="n">
        <v>0.107</v>
      </c>
      <c r="AH17" s="0" t="n">
        <v>0.066</v>
      </c>
      <c r="AI17" s="0" t="n">
        <v>0.008</v>
      </c>
      <c r="AJ17" s="0" t="n">
        <v>0.074</v>
      </c>
      <c r="AK17" s="0" t="n">
        <v>0.11</v>
      </c>
      <c r="AL17" s="0" t="n">
        <v>0.44</v>
      </c>
    </row>
    <row r="18" customFormat="false" ht="15" hidden="false" customHeight="false" outlineLevel="0" collapsed="false">
      <c r="A18" s="0" t="n">
        <v>17</v>
      </c>
      <c r="B18" s="0" t="s">
        <v>61</v>
      </c>
      <c r="C18" s="0" t="s">
        <v>50</v>
      </c>
      <c r="D18" s="0" t="n">
        <v>15.99</v>
      </c>
      <c r="E18" s="0" t="n">
        <v>68.77</v>
      </c>
      <c r="F18" s="0" t="n">
        <v>2.19</v>
      </c>
      <c r="G18" s="0" t="n">
        <v>0.92</v>
      </c>
      <c r="H18" s="0" t="n">
        <v>5.8</v>
      </c>
      <c r="I18" s="0" t="n">
        <v>1.31</v>
      </c>
      <c r="J18" s="0" t="n">
        <v>4.07</v>
      </c>
      <c r="K18" s="0" t="n">
        <v>3.09</v>
      </c>
      <c r="L18" s="0" t="n">
        <v>478</v>
      </c>
      <c r="M18" s="0" t="n">
        <v>1760</v>
      </c>
      <c r="N18" s="0" t="n">
        <v>26052</v>
      </c>
      <c r="O18" s="0" t="n">
        <v>1251</v>
      </c>
      <c r="P18" s="0" t="n">
        <v>307</v>
      </c>
      <c r="Q18" s="0" t="n">
        <v>0</v>
      </c>
      <c r="R18" s="0" t="n">
        <v>78</v>
      </c>
      <c r="S18" s="0" t="n">
        <v>9963</v>
      </c>
      <c r="T18" s="0" t="n">
        <v>0.59</v>
      </c>
      <c r="U18" s="0" t="n">
        <v>79.66</v>
      </c>
      <c r="V18" s="0" t="n">
        <v>15</v>
      </c>
      <c r="W18" s="0" t="n">
        <v>1796</v>
      </c>
      <c r="X18" s="0" t="n">
        <f aca="false"> 26*44*25</f>
        <v>28600</v>
      </c>
      <c r="Y18" s="0" t="n">
        <v>4.5</v>
      </c>
      <c r="Z18" s="0" t="n">
        <v>149</v>
      </c>
      <c r="AA18" s="0" t="n">
        <v>91</v>
      </c>
      <c r="AB18" s="0" t="n">
        <v>89718</v>
      </c>
      <c r="AC18" s="0" t="n">
        <v>28452</v>
      </c>
      <c r="AD18" s="0" t="n">
        <v>47</v>
      </c>
      <c r="AE18" s="0" t="n">
        <v>1</v>
      </c>
      <c r="AF18" s="0" t="n">
        <v>6</v>
      </c>
      <c r="AG18" s="0" t="n">
        <v>0.138</v>
      </c>
      <c r="AH18" s="0" t="n">
        <v>0.024</v>
      </c>
      <c r="AI18" s="0" t="n">
        <v>0.011</v>
      </c>
      <c r="AJ18" s="0" t="n">
        <v>0.058</v>
      </c>
      <c r="AK18" s="0" t="n">
        <v>0.179</v>
      </c>
      <c r="AL18" s="0" t="n">
        <v>0.36</v>
      </c>
    </row>
    <row r="19" customFormat="false" ht="15" hidden="false" customHeight="false" outlineLevel="0" collapsed="false">
      <c r="A19" s="0" t="n">
        <v>18</v>
      </c>
      <c r="B19" s="0" t="s">
        <v>62</v>
      </c>
      <c r="C19" s="0" t="s">
        <v>41</v>
      </c>
      <c r="D19" s="0" t="n">
        <v>31.22</v>
      </c>
      <c r="E19" s="0" t="n">
        <v>11.06</v>
      </c>
      <c r="F19" s="0" t="n">
        <v>6.66</v>
      </c>
      <c r="G19" s="0" t="n">
        <v>1.69</v>
      </c>
      <c r="H19" s="0" t="n">
        <v>3.5</v>
      </c>
      <c r="I19" s="0" t="n">
        <v>5.2</v>
      </c>
      <c r="J19" s="0" t="n">
        <v>1.38</v>
      </c>
      <c r="K19" s="0" t="n">
        <v>23.54</v>
      </c>
      <c r="L19" s="0" t="n">
        <v>617</v>
      </c>
      <c r="M19" s="0" t="n">
        <v>1226</v>
      </c>
      <c r="N19" s="0" t="n">
        <v>40887</v>
      </c>
      <c r="O19" s="0" t="n">
        <v>15641</v>
      </c>
      <c r="P19" s="0" t="n">
        <v>322</v>
      </c>
      <c r="Q19" s="0" t="n">
        <v>304</v>
      </c>
      <c r="R19" s="0" t="n">
        <v>55</v>
      </c>
      <c r="S19" s="0" t="n">
        <v>7118</v>
      </c>
      <c r="T19" s="0" t="n">
        <v>0.34</v>
      </c>
      <c r="U19" s="0" t="n">
        <v>85.39</v>
      </c>
      <c r="V19" s="0" t="n">
        <v>8</v>
      </c>
      <c r="W19" s="0" t="n">
        <v>2881</v>
      </c>
      <c r="X19" s="0" t="n">
        <f aca="false"> 7*12*5</f>
        <v>420</v>
      </c>
      <c r="Y19" s="0" t="n">
        <v>3.4</v>
      </c>
      <c r="Z19" s="0" t="n">
        <v>570</v>
      </c>
      <c r="AA19" s="0" t="n">
        <v>86</v>
      </c>
      <c r="AB19" s="0" t="n">
        <v>53061</v>
      </c>
      <c r="AC19" s="0" t="n">
        <v>48501</v>
      </c>
      <c r="AD19" s="0" t="n">
        <v>79</v>
      </c>
      <c r="AE19" s="0" t="n">
        <v>48</v>
      </c>
      <c r="AF19" s="0" t="n">
        <v>381</v>
      </c>
      <c r="AG19" s="0" t="n">
        <v>0.063</v>
      </c>
      <c r="AH19" s="0" t="n">
        <v>0.011</v>
      </c>
      <c r="AI19" s="0" t="n">
        <v>0.012</v>
      </c>
      <c r="AJ19" s="0" t="n">
        <v>0.062</v>
      </c>
      <c r="AK19" s="0" t="n">
        <v>0.063</v>
      </c>
      <c r="AL19" s="0" t="n">
        <v>0.29</v>
      </c>
    </row>
    <row r="20" customFormat="false" ht="15" hidden="false" customHeight="false" outlineLevel="0" collapsed="false">
      <c r="A20" s="0" t="n">
        <v>19</v>
      </c>
      <c r="B20" s="0" t="s">
        <v>63</v>
      </c>
      <c r="C20" s="0" t="s">
        <v>41</v>
      </c>
      <c r="D20" s="0" t="n">
        <v>39.53</v>
      </c>
      <c r="E20" s="0" t="n">
        <v>77.15</v>
      </c>
      <c r="F20" s="0" t="n">
        <v>3.14</v>
      </c>
      <c r="G20" s="0" t="n">
        <v>2.42</v>
      </c>
      <c r="H20" s="0" t="n">
        <v>14.14</v>
      </c>
      <c r="I20" s="0" t="n">
        <v>5.27</v>
      </c>
      <c r="J20" s="0" t="n">
        <v>2.8</v>
      </c>
      <c r="K20" s="0" t="n">
        <v>8.13</v>
      </c>
      <c r="L20" s="0" t="n">
        <v>387</v>
      </c>
      <c r="M20" s="0" t="n">
        <v>435</v>
      </c>
      <c r="N20" s="0" t="n">
        <v>46622</v>
      </c>
      <c r="O20" s="0" t="n">
        <v>2317</v>
      </c>
      <c r="P20" s="0" t="n">
        <v>244</v>
      </c>
      <c r="Q20" s="0" t="n">
        <v>27</v>
      </c>
      <c r="R20" s="0" t="n">
        <v>14</v>
      </c>
      <c r="S20" s="0" t="n">
        <v>8381</v>
      </c>
      <c r="T20" s="0" t="n">
        <v>0.16</v>
      </c>
      <c r="U20" s="0" t="n">
        <v>131.59</v>
      </c>
      <c r="V20" s="0" t="n">
        <v>6</v>
      </c>
      <c r="W20" s="0" t="n">
        <v>871</v>
      </c>
      <c r="X20" s="0" t="n">
        <f aca="false"> 21*54*14</f>
        <v>15876</v>
      </c>
      <c r="Y20" s="0" t="n">
        <v>3.3</v>
      </c>
      <c r="Z20" s="0" t="n">
        <v>487</v>
      </c>
      <c r="AA20" s="0" t="n">
        <v>98</v>
      </c>
      <c r="AB20" s="0" t="n">
        <v>3446</v>
      </c>
      <c r="AC20" s="0" t="n">
        <v>82359</v>
      </c>
      <c r="AD20" s="0" t="n">
        <v>9</v>
      </c>
      <c r="AE20" s="0" t="n">
        <v>99</v>
      </c>
      <c r="AF20" s="0" t="n">
        <v>172</v>
      </c>
      <c r="AG20" s="0" t="n">
        <v>0.037</v>
      </c>
      <c r="AH20" s="0" t="n">
        <v>0.017</v>
      </c>
      <c r="AI20" s="0" t="n">
        <v>0.011</v>
      </c>
      <c r="AJ20" s="0" t="n">
        <v>0.031</v>
      </c>
      <c r="AK20" s="0" t="n">
        <v>0.217</v>
      </c>
      <c r="AL20" s="0" t="n">
        <v>0.41</v>
      </c>
    </row>
    <row r="21" customFormat="false" ht="15" hidden="false" customHeight="false" outlineLevel="0" collapsed="false">
      <c r="A21" s="0" t="n">
        <v>20</v>
      </c>
      <c r="B21" s="0" t="s">
        <v>64</v>
      </c>
      <c r="C21" s="0" t="s">
        <v>46</v>
      </c>
      <c r="D21" s="0" t="n">
        <v>39.2</v>
      </c>
      <c r="E21" s="0" t="n">
        <v>10.84</v>
      </c>
      <c r="F21" s="0" t="n">
        <v>5.35</v>
      </c>
      <c r="G21" s="0" t="n">
        <v>0.89</v>
      </c>
      <c r="H21" s="0" t="n">
        <v>8.79</v>
      </c>
      <c r="I21" s="0" t="n">
        <v>8.14</v>
      </c>
      <c r="J21" s="0" t="n">
        <v>4.11</v>
      </c>
      <c r="K21" s="0" t="n">
        <v>24.72</v>
      </c>
      <c r="L21" s="0" t="n">
        <v>1279</v>
      </c>
      <c r="M21" s="0" t="n">
        <v>336</v>
      </c>
      <c r="N21" s="0" t="n">
        <v>18874</v>
      </c>
      <c r="O21" s="0" t="n">
        <v>44534</v>
      </c>
      <c r="P21" s="0" t="n">
        <v>365</v>
      </c>
      <c r="Q21" s="0" t="n">
        <v>99</v>
      </c>
      <c r="R21" s="0" t="n">
        <v>96</v>
      </c>
      <c r="S21" s="0" t="n">
        <v>9092</v>
      </c>
      <c r="T21" s="0" t="n">
        <v>0.35</v>
      </c>
      <c r="U21" s="0" t="n">
        <v>134.65</v>
      </c>
      <c r="V21" s="0" t="n">
        <v>4</v>
      </c>
      <c r="W21" s="0" t="n">
        <v>2592</v>
      </c>
      <c r="X21" s="0" t="n">
        <f aca="false"> 36*49*23</f>
        <v>40572</v>
      </c>
      <c r="Y21" s="0" t="n">
        <v>4.6</v>
      </c>
      <c r="Z21" s="0" t="n">
        <v>282</v>
      </c>
      <c r="AA21" s="0" t="n">
        <v>97</v>
      </c>
      <c r="AB21" s="0" t="n">
        <v>9027</v>
      </c>
      <c r="AC21" s="0" t="n">
        <v>48851</v>
      </c>
      <c r="AD21" s="0" t="n">
        <v>91</v>
      </c>
      <c r="AE21" s="0" t="n">
        <v>66</v>
      </c>
      <c r="AF21" s="0" t="n">
        <v>315</v>
      </c>
      <c r="AG21" s="0" t="n">
        <v>0.14</v>
      </c>
      <c r="AH21" s="0" t="n">
        <v>0.052</v>
      </c>
      <c r="AI21" s="0" t="n">
        <v>0.028</v>
      </c>
      <c r="AJ21" s="0" t="n">
        <v>0.083</v>
      </c>
      <c r="AK21" s="0" t="n">
        <v>0.299</v>
      </c>
      <c r="AL21" s="0" t="n">
        <v>0.22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2026-06-19T06:37:33Z</dcterms:created>
  <dc:creator>openpyxl</dc:creator>
  <dc:description/>
  <dc:language>en-US</dc:language>
  <cp:lastModifiedBy/>
  <dcterms:modified xsi:type="dcterms:W3CDTF">2026-06-19T15:42:05Z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