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NU Project\agentic-commerce\data\"/>
    </mc:Choice>
  </mc:AlternateContent>
  <bookViews>
    <workbookView xWindow="0" yWindow="0" windowWidth="23016" windowHeight="9048" activeTab="1"/>
  </bookViews>
  <sheets>
    <sheet name="Feuil1" sheetId="4" r:id="rId1"/>
    <sheet name="Feuil2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5" l="1"/>
  <c r="F14" i="5"/>
  <c r="E15" i="5"/>
  <c r="E14" i="5"/>
  <c r="D15" i="5"/>
  <c r="D14" i="5"/>
  <c r="C15" i="5"/>
  <c r="C14" i="5"/>
  <c r="C13" i="5"/>
  <c r="C12" i="5"/>
  <c r="B15" i="5"/>
  <c r="B14" i="5"/>
</calcChain>
</file>

<file path=xl/sharedStrings.xml><?xml version="1.0" encoding="utf-8"?>
<sst xmlns="http://schemas.openxmlformats.org/spreadsheetml/2006/main" count="155" uniqueCount="91">
  <si>
    <t>id</t>
  </si>
  <si>
    <t>K-beauty accessories</t>
  </si>
  <si>
    <t>Scalp massage brush</t>
  </si>
  <si>
    <t>Silicone facial cleansing pad</t>
  </si>
  <si>
    <t>Makeup puff</t>
  </si>
  <si>
    <t>Cosmetic spatula</t>
  </si>
  <si>
    <t>Cosmetic organizer</t>
  </si>
  <si>
    <t>Travel cosmetic bottle</t>
  </si>
  <si>
    <t>Ice face roller</t>
  </si>
  <si>
    <t>Reusable silicone mask cover</t>
  </si>
  <si>
    <t>Blackhead remover tool kit</t>
  </si>
  <si>
    <t>Mini skincare fridge organizer</t>
  </si>
  <si>
    <t>Hair &amp; scalp care tools</t>
  </si>
  <si>
    <t>Shower scalp brush</t>
  </si>
  <si>
    <t>Hair towel</t>
  </si>
  <si>
    <t>Compact comb</t>
  </si>
  <si>
    <t>Brush holder</t>
  </si>
  <si>
    <t>Heatless hair curler</t>
  </si>
  <si>
    <t>Hair section clips</t>
  </si>
  <si>
    <t>Portable detangling brush</t>
  </si>
  <si>
    <t>Scalp oil applicator bottle</t>
  </si>
  <si>
    <t>Korean lifestyle small goods</t>
  </si>
  <si>
    <t>Desk organizer</t>
  </si>
  <si>
    <t>Cute stationery</t>
  </si>
  <si>
    <t>Travel pouch</t>
  </si>
  <si>
    <t>Kitchen small tool</t>
  </si>
  <si>
    <t>Storage case</t>
  </si>
  <si>
    <t>Cable organizer</t>
  </si>
  <si>
    <t>Mini trash bin for desk</t>
  </si>
  <si>
    <t>Reusable shopping bag</t>
  </si>
  <si>
    <t>Foldable laundry basket</t>
  </si>
  <si>
    <t>Refrigerator storage box</t>
  </si>
  <si>
    <t>Korean desk &amp; study accessories</t>
  </si>
  <si>
    <t>Laptop stand</t>
  </si>
  <si>
    <t>Keyboard cleaning gel</t>
  </si>
  <si>
    <t>Monitor memo board</t>
  </si>
  <si>
    <t>Aesthetic mouse pad</t>
  </si>
  <si>
    <t>Tablet stand</t>
  </si>
  <si>
    <t>Korean travel accessories</t>
  </si>
  <si>
    <t>Compression packing cubes</t>
  </si>
  <si>
    <t>Passport holder</t>
  </si>
  <si>
    <t>Portable jewelry case</t>
  </si>
  <si>
    <t>Mini refill perfume bottle</t>
  </si>
  <si>
    <t>Luggage shoe bag</t>
  </si>
  <si>
    <t>Korean pet accessories</t>
  </si>
  <si>
    <t>Pet grooming glove</t>
  </si>
  <si>
    <t>Portable pet water bottle</t>
  </si>
  <si>
    <t>Pet food storage container</t>
  </si>
  <si>
    <t>Silicone pet bath brush</t>
  </si>
  <si>
    <t>Pet hair remover roller</t>
  </si>
  <si>
    <t>product_name</t>
  </si>
  <si>
    <t>order_this_month</t>
  </si>
  <si>
    <t>order_last_month</t>
  </si>
  <si>
    <t>search_this_month</t>
  </si>
  <si>
    <t>search_last_month</t>
  </si>
  <si>
    <t>review_this_month</t>
  </si>
  <si>
    <t>review_last_month</t>
  </si>
  <si>
    <t>selling_price</t>
  </si>
  <si>
    <t>product_cost</t>
  </si>
  <si>
    <t>shipping_cost</t>
  </si>
  <si>
    <t>platform_fees</t>
  </si>
  <si>
    <t>number_of_competitors</t>
  </si>
  <si>
    <t>avg_top_five_competitor_reviews</t>
  </si>
  <si>
    <t>avg_margin</t>
  </si>
  <si>
    <t>avg_selling_price</t>
  </si>
  <si>
    <t>delivery_time</t>
  </si>
  <si>
    <t>weight</t>
  </si>
  <si>
    <t>fragility</t>
  </si>
  <si>
    <t>supplier_rating</t>
  </si>
  <si>
    <t>moq</t>
  </si>
  <si>
    <t>response_rate</t>
  </si>
  <si>
    <t>supplier_completed_orders</t>
  </si>
  <si>
    <t>supplier_max_orders</t>
  </si>
  <si>
    <t>current_tiktok_trend_score</t>
  </si>
  <si>
    <t>last_month_tiktok_trend_score</t>
  </si>
  <si>
    <t>number_of_creators</t>
  </si>
  <si>
    <t>size</t>
  </si>
  <si>
    <t>advertising_costs</t>
  </si>
  <si>
    <t>product_category</t>
  </si>
  <si>
    <t xml:space="preserve">selling price </t>
  </si>
  <si>
    <t>avg in usd</t>
  </si>
  <si>
    <t>median in usd</t>
  </si>
  <si>
    <t>avg in KRW</t>
  </si>
  <si>
    <t>median in KRW</t>
  </si>
  <si>
    <t xml:space="preserve">KRW to USD </t>
  </si>
  <si>
    <t>Data Source</t>
  </si>
  <si>
    <t>Shopee</t>
  </si>
  <si>
    <t>https://chinaggook.domeggook.com/home/product/list.php?ss=1688&amp;sk=name&amp;sv=Scalp%20massage%20brush&amp;img=#n</t>
  </si>
  <si>
    <t>shopee fee rate</t>
  </si>
  <si>
    <t>https://shopee.kr/edu/article/10624</t>
  </si>
  <si>
    <t xml:space="preserve">advertising costs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</si>
</sst>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Views>
    <sheetView workbookViewId="0">
      <selection activeCell="B2" sqref="B2"/>
    </sheetView>
  </sheetViews>
  <sheetFormatPr baseColWidth="10" defaultRowHeight="14.4" x14ac:dyDescent="0.3"/>
  <cols>
    <col min="2" max="2" width="25" bestFit="1" customWidth="1"/>
    <col min="3" max="3" width="27.5546875" bestFit="1" customWidth="1"/>
  </cols>
  <sheetData>
    <row r="1" spans="1:30" x14ac:dyDescent="0.3">
      <c r="A1" s="1" t="s">
        <v>0</v>
      </c>
      <c r="B1" s="1" t="s">
        <v>50</v>
      </c>
      <c r="C1" s="1" t="s">
        <v>78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77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76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</row>
    <row r="2" spans="1:30" x14ac:dyDescent="0.3">
      <c r="A2" s="1">
        <v>1</v>
      </c>
      <c r="B2" s="1" t="s">
        <v>2</v>
      </c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>
        <v>2</v>
      </c>
      <c r="B3" s="1" t="s">
        <v>3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1">
        <v>3</v>
      </c>
      <c r="B4" s="1" t="s">
        <v>4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">
        <v>4</v>
      </c>
      <c r="B5" s="1" t="s">
        <v>5</v>
      </c>
      <c r="C5" s="1" t="s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">
        <v>5</v>
      </c>
      <c r="B6" s="1" t="s">
        <v>6</v>
      </c>
      <c r="C6" s="1" t="s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">
        <v>6</v>
      </c>
      <c r="B7" s="1" t="s">
        <v>7</v>
      </c>
      <c r="C7" s="1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">
        <v>7</v>
      </c>
      <c r="B8" s="1" t="s">
        <v>8</v>
      </c>
      <c r="C8" s="1" t="s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">
        <v>8</v>
      </c>
      <c r="B9" s="1" t="s">
        <v>9</v>
      </c>
      <c r="C9" s="1" t="s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">
        <v>9</v>
      </c>
      <c r="B10" s="1" t="s">
        <v>10</v>
      </c>
      <c r="C10" s="1" t="s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">
        <v>10</v>
      </c>
      <c r="B11" s="1" t="s">
        <v>11</v>
      </c>
      <c r="C11" s="1" t="s"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">
        <v>11</v>
      </c>
      <c r="B12" s="1" t="s">
        <v>13</v>
      </c>
      <c r="C12" s="1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">
        <v>12</v>
      </c>
      <c r="B13" s="1" t="s">
        <v>14</v>
      </c>
      <c r="C13" s="1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">
        <v>13</v>
      </c>
      <c r="B14" s="1" t="s">
        <v>15</v>
      </c>
      <c r="C14" s="1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">
        <v>14</v>
      </c>
      <c r="B15" s="1" t="s">
        <v>16</v>
      </c>
      <c r="C15" s="1" t="s">
        <v>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">
        <v>15</v>
      </c>
      <c r="B16" s="1" t="s">
        <v>17</v>
      </c>
      <c r="C16" s="1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>
        <v>16</v>
      </c>
      <c r="B17" s="1" t="s">
        <v>18</v>
      </c>
      <c r="C17" s="1" t="s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>
        <v>17</v>
      </c>
      <c r="B18" s="1" t="s">
        <v>19</v>
      </c>
      <c r="C18" s="1" t="s">
        <v>12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>
        <v>18</v>
      </c>
      <c r="B19" s="1" t="s">
        <v>20</v>
      </c>
      <c r="C19" s="1" t="s">
        <v>12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>
        <v>19</v>
      </c>
      <c r="B20" s="1" t="s">
        <v>22</v>
      </c>
      <c r="C20" s="1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>
        <v>20</v>
      </c>
      <c r="B21" s="1" t="s">
        <v>23</v>
      </c>
      <c r="C21" s="1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>
        <v>21</v>
      </c>
      <c r="B22" s="1" t="s">
        <v>24</v>
      </c>
      <c r="C22" s="1" t="s">
        <v>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>
        <v>22</v>
      </c>
      <c r="B23" s="1" t="s">
        <v>25</v>
      </c>
      <c r="C23" s="1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>
        <v>23</v>
      </c>
      <c r="B24" s="1" t="s">
        <v>26</v>
      </c>
      <c r="C24" s="1" t="s">
        <v>21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>
        <v>24</v>
      </c>
      <c r="B25" s="1" t="s">
        <v>27</v>
      </c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>
        <v>25</v>
      </c>
      <c r="B26" s="1" t="s">
        <v>28</v>
      </c>
      <c r="C26" s="1" t="s">
        <v>21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>
        <v>26</v>
      </c>
      <c r="B27" s="1" t="s">
        <v>29</v>
      </c>
      <c r="C27" s="1" t="s">
        <v>21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>
        <v>27</v>
      </c>
      <c r="B28" s="1" t="s">
        <v>30</v>
      </c>
      <c r="C28" s="1" t="s">
        <v>21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>
        <v>28</v>
      </c>
      <c r="B29" s="1" t="s">
        <v>31</v>
      </c>
      <c r="C29" s="1" t="s">
        <v>21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>
        <v>29</v>
      </c>
      <c r="B30" s="1" t="s">
        <v>33</v>
      </c>
      <c r="C30" s="1" t="s">
        <v>32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>
        <v>30</v>
      </c>
      <c r="B31" s="1" t="s">
        <v>34</v>
      </c>
      <c r="C31" s="1" t="s">
        <v>32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>
        <v>31</v>
      </c>
      <c r="B32" s="1" t="s">
        <v>35</v>
      </c>
      <c r="C32" s="1" t="s">
        <v>32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>
        <v>32</v>
      </c>
      <c r="B33" s="1" t="s">
        <v>36</v>
      </c>
      <c r="C33" s="1" t="s">
        <v>32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>
        <v>33</v>
      </c>
      <c r="B34" s="1" t="s">
        <v>37</v>
      </c>
      <c r="C34" s="1" t="s">
        <v>32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>
        <v>34</v>
      </c>
      <c r="B35" s="1" t="s">
        <v>39</v>
      </c>
      <c r="C35" s="1" t="s">
        <v>38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>
        <v>35</v>
      </c>
      <c r="B36" s="1" t="s">
        <v>40</v>
      </c>
      <c r="C36" s="1" t="s">
        <v>38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>
        <v>36</v>
      </c>
      <c r="B37" s="1" t="s">
        <v>41</v>
      </c>
      <c r="C37" s="1" t="s">
        <v>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>
        <v>37</v>
      </c>
      <c r="B38" s="1" t="s">
        <v>42</v>
      </c>
      <c r="C38" s="1" t="s">
        <v>38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>
        <v>38</v>
      </c>
      <c r="B39" s="1" t="s">
        <v>43</v>
      </c>
      <c r="C39" s="1" t="s">
        <v>38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>
        <v>39</v>
      </c>
      <c r="B40" s="1" t="s">
        <v>45</v>
      </c>
      <c r="C40" s="1" t="s">
        <v>44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>
        <v>40</v>
      </c>
      <c r="B41" s="1" t="s">
        <v>46</v>
      </c>
      <c r="C41" s="1" t="s">
        <v>44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>
        <v>41</v>
      </c>
      <c r="B42" s="1" t="s">
        <v>47</v>
      </c>
      <c r="C42" s="1" t="s">
        <v>44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>
        <v>42</v>
      </c>
      <c r="B43" s="1" t="s">
        <v>48</v>
      </c>
      <c r="C43" s="1" t="s">
        <v>44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>
        <v>43</v>
      </c>
      <c r="B44" s="1" t="s">
        <v>49</v>
      </c>
      <c r="C44" s="1" t="s">
        <v>44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tabSelected="1" workbookViewId="0">
      <selection activeCell="I12" sqref="I12"/>
    </sheetView>
  </sheetViews>
  <sheetFormatPr baseColWidth="10" defaultRowHeight="14.4" x14ac:dyDescent="0.3"/>
  <cols>
    <col min="6" max="6" width="15" bestFit="1" customWidth="1"/>
    <col min="7" max="8" width="15.6640625" bestFit="1" customWidth="1"/>
    <col min="9" max="9" width="16.6640625" bestFit="1" customWidth="1"/>
  </cols>
  <sheetData>
    <row r="1" spans="1:28" x14ac:dyDescent="0.3">
      <c r="B1" t="s">
        <v>79</v>
      </c>
      <c r="C1" s="1" t="s">
        <v>58</v>
      </c>
      <c r="D1" s="1" t="s">
        <v>59</v>
      </c>
      <c r="E1" s="1" t="s">
        <v>60</v>
      </c>
      <c r="F1" s="1" t="s">
        <v>77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76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 x14ac:dyDescent="0.3">
      <c r="B2">
        <v>200</v>
      </c>
      <c r="C2">
        <v>4767</v>
      </c>
    </row>
    <row r="3" spans="1:28" x14ac:dyDescent="0.3">
      <c r="B3">
        <v>128</v>
      </c>
      <c r="C3">
        <v>1646</v>
      </c>
    </row>
    <row r="4" spans="1:28" x14ac:dyDescent="0.3">
      <c r="B4">
        <v>205</v>
      </c>
      <c r="C4">
        <v>3183</v>
      </c>
    </row>
    <row r="5" spans="1:28" x14ac:dyDescent="0.3">
      <c r="B5">
        <v>329</v>
      </c>
      <c r="C5">
        <v>5844</v>
      </c>
    </row>
    <row r="6" spans="1:28" x14ac:dyDescent="0.3">
      <c r="B6">
        <v>255</v>
      </c>
      <c r="C6">
        <v>5029</v>
      </c>
    </row>
    <row r="7" spans="1:28" x14ac:dyDescent="0.3">
      <c r="B7">
        <v>300</v>
      </c>
      <c r="C7">
        <v>15223</v>
      </c>
    </row>
    <row r="8" spans="1:28" x14ac:dyDescent="0.3">
      <c r="B8">
        <v>300</v>
      </c>
      <c r="C8">
        <v>2691</v>
      </c>
    </row>
    <row r="9" spans="1:28" x14ac:dyDescent="0.3">
      <c r="B9">
        <v>100</v>
      </c>
      <c r="C9">
        <v>7228</v>
      </c>
    </row>
    <row r="10" spans="1:28" x14ac:dyDescent="0.3">
      <c r="B10">
        <v>450</v>
      </c>
    </row>
    <row r="11" spans="1:28" x14ac:dyDescent="0.3">
      <c r="B11">
        <v>170</v>
      </c>
    </row>
    <row r="12" spans="1:28" x14ac:dyDescent="0.3">
      <c r="A12" t="s">
        <v>82</v>
      </c>
      <c r="C12">
        <f>AVERAGEA(C2:C11)</f>
        <v>5701.375</v>
      </c>
      <c r="D12">
        <v>14000</v>
      </c>
    </row>
    <row r="13" spans="1:28" x14ac:dyDescent="0.3">
      <c r="A13" t="s">
        <v>83</v>
      </c>
      <c r="C13">
        <f xml:space="preserve"> MEDIAN(C2:C11)</f>
        <v>4898</v>
      </c>
      <c r="D13">
        <v>14000</v>
      </c>
    </row>
    <row r="14" spans="1:28" x14ac:dyDescent="0.3">
      <c r="A14" t="s">
        <v>80</v>
      </c>
      <c r="B14">
        <f>AVERAGEA(B2:B11)</f>
        <v>243.7</v>
      </c>
      <c r="C14">
        <f>0.00066*C12</f>
        <v>3.7629074999999998</v>
      </c>
      <c r="D14">
        <f>B18*D12</f>
        <v>9.24</v>
      </c>
      <c r="E14">
        <f>B23*B14</f>
        <v>30.09695</v>
      </c>
      <c r="F14">
        <f>B25*B14</f>
        <v>36.555</v>
      </c>
    </row>
    <row r="15" spans="1:28" x14ac:dyDescent="0.3">
      <c r="A15" t="s">
        <v>81</v>
      </c>
      <c r="B15">
        <f xml:space="preserve"> MEDIAN(B2:B11)</f>
        <v>230</v>
      </c>
      <c r="C15">
        <f>0.00066*C13</f>
        <v>3.2326799999999998</v>
      </c>
      <c r="D15">
        <f>D13*B18</f>
        <v>9.24</v>
      </c>
      <c r="E15">
        <f>B23*B15</f>
        <v>28.405000000000001</v>
      </c>
      <c r="F15">
        <f>B25*B15</f>
        <v>34.5</v>
      </c>
    </row>
    <row r="18" spans="1:5" x14ac:dyDescent="0.3">
      <c r="A18" t="s">
        <v>84</v>
      </c>
      <c r="B18">
        <v>6.6E-4</v>
      </c>
    </row>
    <row r="20" spans="1:5" x14ac:dyDescent="0.3">
      <c r="A20" t="s">
        <v>85</v>
      </c>
      <c r="B20" t="s">
        <v>86</v>
      </c>
      <c r="C20" t="s">
        <v>87</v>
      </c>
      <c r="D20" t="s">
        <v>87</v>
      </c>
      <c r="E20" t="s">
        <v>89</v>
      </c>
    </row>
    <row r="23" spans="1:5" x14ac:dyDescent="0.3">
      <c r="A23" t="s">
        <v>88</v>
      </c>
      <c r="B23">
        <v>0.1235</v>
      </c>
    </row>
    <row r="25" spans="1:5" x14ac:dyDescent="0.3">
      <c r="A25" t="s">
        <v>90</v>
      </c>
      <c r="B25">
        <v>0.15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VRMI260401</dc:creator>
  <cp:lastModifiedBy>VRMI260401</cp:lastModifiedBy>
  <dcterms:created xsi:type="dcterms:W3CDTF">2026-05-26T06:12:17Z</dcterms:created>
  <dcterms:modified xsi:type="dcterms:W3CDTF">2026-06-01T02:10:46Z</dcterms:modified>
</cp:coreProperties>
</file>